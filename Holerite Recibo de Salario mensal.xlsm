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slef\OneDrive\Área de Trabalho\Empresas\01.Empresa Maria - prosaude\"/>
    </mc:Choice>
  </mc:AlternateContent>
  <xr:revisionPtr revIDLastSave="0" documentId="13_ncr:1_{95C8529E-BF18-41FB-99A0-5189F72DECB4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Menu" sheetId="2" r:id="rId1"/>
    <sheet name="Holerite Colorido" sheetId="9" r:id="rId2"/>
    <sheet name="Holerite Preto e Branco" sheetId="12" r:id="rId3"/>
    <sheet name="Base de Dados" sheetId="13" r:id="rId4"/>
    <sheet name="Configuração" sheetId="14" r:id="rId5"/>
  </sheets>
  <definedNames>
    <definedName name="_xlnm.Print_Area" localSheetId="1">'Holerite Colorido'!$B$2:$R$80</definedName>
    <definedName name="_xlnm.Print_Area" localSheetId="2">'Holerite Preto e Branco'!$B$2:$R$80</definedName>
    <definedName name="Matriculas">Configuração!$D$2:$D$144</definedName>
  </definedNames>
  <calcPr calcId="181029"/>
</workbook>
</file>

<file path=xl/calcChain.xml><?xml version="1.0" encoding="utf-8"?>
<calcChain xmlns="http://schemas.openxmlformats.org/spreadsheetml/2006/main">
  <c r="G54" i="12" l="1"/>
  <c r="K13" i="12"/>
  <c r="D87" i="12"/>
  <c r="D128" i="12" s="1"/>
  <c r="G87" i="12"/>
  <c r="G128" i="12" s="1"/>
  <c r="D93" i="12"/>
  <c r="D94" i="12"/>
  <c r="D135" i="12" s="1"/>
  <c r="D95" i="12"/>
  <c r="D136" i="12" s="1"/>
  <c r="C117" i="12"/>
  <c r="E117" i="12"/>
  <c r="F117" i="12"/>
  <c r="G117" i="12"/>
  <c r="G158" i="12" s="1"/>
  <c r="C123" i="12"/>
  <c r="C125" i="12"/>
  <c r="G125" i="12"/>
  <c r="C128" i="12"/>
  <c r="C134" i="12"/>
  <c r="D134" i="12"/>
  <c r="H134" i="12"/>
  <c r="C135" i="12"/>
  <c r="G135" i="12"/>
  <c r="K135" i="12"/>
  <c r="C136" i="12"/>
  <c r="G136" i="12"/>
  <c r="C137" i="12"/>
  <c r="D137" i="12"/>
  <c r="G137" i="12"/>
  <c r="H137" i="12"/>
  <c r="K137" i="12"/>
  <c r="C138" i="12"/>
  <c r="D138" i="12"/>
  <c r="G138" i="12"/>
  <c r="H138" i="12"/>
  <c r="K138" i="12"/>
  <c r="C139" i="12"/>
  <c r="D139" i="12"/>
  <c r="H139" i="12"/>
  <c r="K139" i="12"/>
  <c r="C140" i="12"/>
  <c r="D140" i="12"/>
  <c r="H140" i="12"/>
  <c r="K140" i="12"/>
  <c r="C141" i="12"/>
  <c r="D141" i="12"/>
  <c r="H141" i="12"/>
  <c r="K141" i="12"/>
  <c r="C142" i="12"/>
  <c r="D142" i="12"/>
  <c r="H142" i="12"/>
  <c r="K142" i="12"/>
  <c r="C158" i="12"/>
  <c r="E158" i="12"/>
  <c r="F158" i="12"/>
  <c r="L158" i="12"/>
  <c r="C276" i="12"/>
  <c r="C317" i="12" s="1"/>
  <c r="C196" i="12"/>
  <c r="E237" i="12"/>
  <c r="K252" i="12"/>
  <c r="B10" i="13"/>
  <c r="L317" i="12"/>
  <c r="K301" i="12"/>
  <c r="H301" i="12"/>
  <c r="G301" i="12"/>
  <c r="D301" i="12"/>
  <c r="C301" i="12"/>
  <c r="K300" i="12"/>
  <c r="H300" i="12"/>
  <c r="G300" i="12"/>
  <c r="D300" i="12"/>
  <c r="C300" i="12"/>
  <c r="K299" i="12"/>
  <c r="H299" i="12"/>
  <c r="G299" i="12"/>
  <c r="D299" i="12"/>
  <c r="C299" i="12"/>
  <c r="K298" i="12"/>
  <c r="H298" i="12"/>
  <c r="G298" i="12"/>
  <c r="D298" i="12"/>
  <c r="C298" i="12"/>
  <c r="K297" i="12"/>
  <c r="H297" i="12"/>
  <c r="G297" i="12"/>
  <c r="D297" i="12"/>
  <c r="C297" i="12"/>
  <c r="K296" i="12"/>
  <c r="H296" i="12"/>
  <c r="G296" i="12"/>
  <c r="D296" i="12"/>
  <c r="C296" i="12"/>
  <c r="H295" i="12"/>
  <c r="G295" i="12"/>
  <c r="D295" i="12"/>
  <c r="C295" i="12"/>
  <c r="K294" i="12"/>
  <c r="H294" i="12"/>
  <c r="G294" i="12"/>
  <c r="C294" i="12"/>
  <c r="K293" i="12"/>
  <c r="H293" i="12"/>
  <c r="G293" i="12"/>
  <c r="C293" i="12"/>
  <c r="K292" i="12"/>
  <c r="H292" i="12"/>
  <c r="G292" i="12"/>
  <c r="C292" i="12"/>
  <c r="H291" i="12"/>
  <c r="G291" i="12"/>
  <c r="C291" i="12"/>
  <c r="C287" i="12"/>
  <c r="G284" i="12"/>
  <c r="C284" i="12"/>
  <c r="C282" i="12"/>
  <c r="I276" i="12"/>
  <c r="I317" i="12" s="1"/>
  <c r="F276" i="12"/>
  <c r="G276" i="12" s="1"/>
  <c r="G317" i="12" s="1"/>
  <c r="E276" i="12"/>
  <c r="E317" i="12" s="1"/>
  <c r="D253" i="12"/>
  <c r="D294" i="12" s="1"/>
  <c r="D252" i="12"/>
  <c r="D293" i="12" s="1"/>
  <c r="D251" i="12"/>
  <c r="D292" i="12" s="1"/>
  <c r="D250" i="12"/>
  <c r="D291" i="12" s="1"/>
  <c r="G246" i="12"/>
  <c r="G287" i="12" s="1"/>
  <c r="D246" i="12"/>
  <c r="D287" i="12" s="1"/>
  <c r="F317" i="12" l="1"/>
  <c r="G211" i="12"/>
  <c r="G212" i="12"/>
  <c r="H212" i="12" l="1"/>
  <c r="A15" i="13" l="1"/>
  <c r="B15" i="13" s="1"/>
  <c r="A14" i="13"/>
  <c r="B14" i="13" s="1"/>
  <c r="A13" i="13"/>
  <c r="B13" i="13" s="1"/>
  <c r="J12" i="13"/>
  <c r="A12" i="13"/>
  <c r="B12" i="13" s="1"/>
  <c r="B11" i="13"/>
  <c r="G166" i="12"/>
  <c r="G207" i="12" s="1"/>
  <c r="L237" i="12"/>
  <c r="H215" i="12"/>
  <c r="G215" i="12"/>
  <c r="D215" i="12"/>
  <c r="C215" i="12"/>
  <c r="H214" i="12"/>
  <c r="G214" i="12"/>
  <c r="C214" i="12"/>
  <c r="K213" i="12"/>
  <c r="G213" i="12"/>
  <c r="C213" i="12"/>
  <c r="K212" i="12"/>
  <c r="C212" i="12"/>
  <c r="H211" i="12"/>
  <c r="C207" i="12"/>
  <c r="G204" i="12"/>
  <c r="C204" i="12"/>
  <c r="C202" i="12"/>
  <c r="F196" i="12"/>
  <c r="C237" i="12"/>
  <c r="K214" i="12"/>
  <c r="D173" i="12"/>
  <c r="D214" i="12" s="1"/>
  <c r="D172" i="12"/>
  <c r="D213" i="12" s="1"/>
  <c r="D171" i="12"/>
  <c r="D212" i="12" s="1"/>
  <c r="L79" i="12"/>
  <c r="G57" i="12"/>
  <c r="C57" i="12"/>
  <c r="K56" i="12"/>
  <c r="G56" i="12"/>
  <c r="C56" i="12"/>
  <c r="H55" i="12"/>
  <c r="C55" i="12"/>
  <c r="C49" i="12"/>
  <c r="G46" i="12"/>
  <c r="C46" i="12"/>
  <c r="C44" i="12"/>
  <c r="D14" i="12"/>
  <c r="D55" i="12" s="1"/>
  <c r="D166" i="12" l="1"/>
  <c r="D207" i="12" s="1"/>
  <c r="G196" i="12"/>
  <c r="G237" i="12" s="1"/>
  <c r="F237" i="12"/>
  <c r="A8" i="13"/>
  <c r="B8" i="13" s="1"/>
  <c r="B9" i="13" l="1"/>
  <c r="F38" i="12"/>
  <c r="E38" i="12"/>
  <c r="E79" i="12" s="1"/>
  <c r="C38" i="12"/>
  <c r="C79" i="12" s="1"/>
  <c r="G38" i="12" l="1"/>
  <c r="G79" i="12" s="1"/>
  <c r="F79" i="12"/>
  <c r="A7" i="13"/>
  <c r="A6" i="13"/>
  <c r="A5" i="13"/>
  <c r="B5" i="13" s="1"/>
  <c r="A4" i="13"/>
  <c r="B4" i="13" s="1"/>
  <c r="A3" i="13"/>
  <c r="A2" i="13"/>
  <c r="B3" i="13"/>
  <c r="B6" i="13"/>
  <c r="B7" i="13"/>
  <c r="B2" i="13"/>
  <c r="G8" i="9"/>
  <c r="E4" i="13"/>
  <c r="E3" i="13"/>
  <c r="E2" i="13"/>
  <c r="J6" i="13"/>
  <c r="J4" i="13"/>
  <c r="J3" i="13"/>
  <c r="D4" i="13"/>
  <c r="D3" i="13"/>
  <c r="D2" i="13"/>
  <c r="C49" i="9"/>
  <c r="G46" i="9"/>
  <c r="C46" i="9"/>
  <c r="C44" i="9"/>
  <c r="L79" i="9"/>
  <c r="I79" i="9"/>
  <c r="G79" i="9"/>
  <c r="F79" i="9"/>
  <c r="E79" i="9"/>
  <c r="C79" i="9"/>
  <c r="G92" i="12" l="1"/>
  <c r="G133" i="12" s="1"/>
  <c r="H95" i="12"/>
  <c r="H136" i="12" s="1"/>
  <c r="H102" i="12"/>
  <c r="H143" i="12" s="1"/>
  <c r="H104" i="12"/>
  <c r="H145" i="12" s="1"/>
  <c r="H106" i="12"/>
  <c r="H147" i="12" s="1"/>
  <c r="H108" i="12"/>
  <c r="H149" i="12" s="1"/>
  <c r="G22" i="12"/>
  <c r="C54" i="12"/>
  <c r="K250" i="12"/>
  <c r="K291" i="12" s="1"/>
  <c r="G29" i="12"/>
  <c r="H92" i="12"/>
  <c r="H133" i="12" s="1"/>
  <c r="K95" i="12"/>
  <c r="K136" i="12" s="1"/>
  <c r="K102" i="12"/>
  <c r="K143" i="12" s="1"/>
  <c r="K104" i="12"/>
  <c r="K145" i="12" s="1"/>
  <c r="K106" i="12"/>
  <c r="K147" i="12" s="1"/>
  <c r="K108" i="12"/>
  <c r="K149" i="12" s="1"/>
  <c r="G23" i="12"/>
  <c r="C12" i="12"/>
  <c r="C91" i="12"/>
  <c r="K92" i="12"/>
  <c r="K133" i="12" s="1"/>
  <c r="G98" i="12"/>
  <c r="G139" i="12" s="1"/>
  <c r="C103" i="12"/>
  <c r="C105" i="12"/>
  <c r="C107" i="12"/>
  <c r="G24" i="12"/>
  <c r="G12" i="12"/>
  <c r="G99" i="12"/>
  <c r="G140" i="12" s="1"/>
  <c r="G103" i="12"/>
  <c r="G144" i="12" s="1"/>
  <c r="G105" i="12"/>
  <c r="G146" i="12" s="1"/>
  <c r="G107" i="12"/>
  <c r="G148" i="12" s="1"/>
  <c r="G25" i="12"/>
  <c r="K107" i="12"/>
  <c r="K148" i="12" s="1"/>
  <c r="G27" i="12"/>
  <c r="G91" i="12"/>
  <c r="G132" i="12" s="1"/>
  <c r="G93" i="12"/>
  <c r="G134" i="12" s="1"/>
  <c r="G100" i="12"/>
  <c r="G141" i="12" s="1"/>
  <c r="H103" i="12"/>
  <c r="H144" i="12" s="1"/>
  <c r="H105" i="12"/>
  <c r="H146" i="12" s="1"/>
  <c r="H107" i="12"/>
  <c r="H148" i="12" s="1"/>
  <c r="G26" i="12"/>
  <c r="K254" i="12"/>
  <c r="G101" i="12"/>
  <c r="G142" i="12" s="1"/>
  <c r="K103" i="12"/>
  <c r="K144" i="12" s="1"/>
  <c r="K105" i="12"/>
  <c r="K146" i="12" s="1"/>
  <c r="G19" i="12"/>
  <c r="G21" i="12"/>
  <c r="H91" i="12"/>
  <c r="K91" i="12"/>
  <c r="K132" i="12" s="1"/>
  <c r="H94" i="12"/>
  <c r="H135" i="12" s="1"/>
  <c r="C102" i="12"/>
  <c r="C104" i="12"/>
  <c r="C106" i="12"/>
  <c r="C108" i="12"/>
  <c r="G20" i="12"/>
  <c r="G28" i="12"/>
  <c r="G102" i="12"/>
  <c r="G143" i="12" s="1"/>
  <c r="G104" i="12"/>
  <c r="G145" i="12" s="1"/>
  <c r="G106" i="12"/>
  <c r="G147" i="12" s="1"/>
  <c r="G108" i="12"/>
  <c r="G149" i="12" s="1"/>
  <c r="C92" i="12"/>
  <c r="K267" i="12"/>
  <c r="K308" i="12" s="1"/>
  <c r="C267" i="12"/>
  <c r="H265" i="12"/>
  <c r="H306" i="12" s="1"/>
  <c r="G264" i="12"/>
  <c r="G305" i="12" s="1"/>
  <c r="K266" i="12"/>
  <c r="K307" i="12" s="1"/>
  <c r="K265" i="12"/>
  <c r="K306" i="12" s="1"/>
  <c r="H264" i="12"/>
  <c r="H305" i="12" s="1"/>
  <c r="H263" i="12"/>
  <c r="H304" i="12" s="1"/>
  <c r="C266" i="12"/>
  <c r="G263" i="12"/>
  <c r="G304" i="12" s="1"/>
  <c r="C265" i="12"/>
  <c r="C264" i="12"/>
  <c r="G262" i="12"/>
  <c r="G303" i="12" s="1"/>
  <c r="G261" i="12"/>
  <c r="G302" i="12" s="1"/>
  <c r="H267" i="12"/>
  <c r="H308" i="12" s="1"/>
  <c r="C261" i="12"/>
  <c r="G265" i="12"/>
  <c r="G306" i="12" s="1"/>
  <c r="H262" i="12"/>
  <c r="H303" i="12" s="1"/>
  <c r="K263" i="12"/>
  <c r="K304" i="12" s="1"/>
  <c r="C263" i="12"/>
  <c r="H261" i="12"/>
  <c r="K262" i="12"/>
  <c r="K303" i="12" s="1"/>
  <c r="K261" i="12"/>
  <c r="K302" i="12" s="1"/>
  <c r="C262" i="12"/>
  <c r="G267" i="12"/>
  <c r="G308" i="12" s="1"/>
  <c r="H266" i="12"/>
  <c r="H307" i="12" s="1"/>
  <c r="G266" i="12"/>
  <c r="G307" i="12" s="1"/>
  <c r="K264" i="12"/>
  <c r="K305" i="12" s="1"/>
  <c r="K93" i="12"/>
  <c r="I117" i="12" s="1"/>
  <c r="I158" i="12" s="1"/>
  <c r="K187" i="12"/>
  <c r="K228" i="12" s="1"/>
  <c r="G187" i="12"/>
  <c r="G228" i="12" s="1"/>
  <c r="K186" i="12"/>
  <c r="K227" i="12" s="1"/>
  <c r="G186" i="12"/>
  <c r="G227" i="12" s="1"/>
  <c r="K185" i="12"/>
  <c r="K226" i="12" s="1"/>
  <c r="G185" i="12"/>
  <c r="G226" i="12" s="1"/>
  <c r="K184" i="12"/>
  <c r="K225" i="12" s="1"/>
  <c r="G184" i="12"/>
  <c r="G225" i="12" s="1"/>
  <c r="K183" i="12"/>
  <c r="K224" i="12" s="1"/>
  <c r="G183" i="12"/>
  <c r="G224" i="12" s="1"/>
  <c r="K182" i="12"/>
  <c r="K223" i="12" s="1"/>
  <c r="G182" i="12"/>
  <c r="G223" i="12" s="1"/>
  <c r="K181" i="12"/>
  <c r="K222" i="12" s="1"/>
  <c r="G181" i="12"/>
  <c r="G222" i="12" s="1"/>
  <c r="K221" i="12"/>
  <c r="G221" i="12"/>
  <c r="H220" i="12"/>
  <c r="H219" i="12"/>
  <c r="H218" i="12"/>
  <c r="H217" i="12"/>
  <c r="H216" i="12"/>
  <c r="H15" i="12"/>
  <c r="H56" i="12" s="1"/>
  <c r="H12" i="12"/>
  <c r="H53" i="12" s="1"/>
  <c r="H187" i="12"/>
  <c r="H228" i="12" s="1"/>
  <c r="C187" i="12"/>
  <c r="H186" i="12"/>
  <c r="H227" i="12" s="1"/>
  <c r="C186" i="12"/>
  <c r="H185" i="12"/>
  <c r="H226" i="12" s="1"/>
  <c r="C185" i="12"/>
  <c r="H184" i="12"/>
  <c r="H225" i="12" s="1"/>
  <c r="C184" i="12"/>
  <c r="H183" i="12"/>
  <c r="H224" i="12" s="1"/>
  <c r="C183" i="12"/>
  <c r="H182" i="12"/>
  <c r="H223" i="12" s="1"/>
  <c r="C182" i="12"/>
  <c r="H181" i="12"/>
  <c r="H222" i="12" s="1"/>
  <c r="C181" i="12"/>
  <c r="H221" i="12"/>
  <c r="K220" i="12"/>
  <c r="G220" i="12"/>
  <c r="K219" i="12"/>
  <c r="G219" i="12"/>
  <c r="K218" i="12"/>
  <c r="G218" i="12"/>
  <c r="K217" i="12"/>
  <c r="G217" i="12"/>
  <c r="K216" i="12"/>
  <c r="G216" i="12"/>
  <c r="K174" i="12"/>
  <c r="K170" i="12"/>
  <c r="K211" i="12" s="1"/>
  <c r="G55" i="12"/>
  <c r="H54" i="12"/>
  <c r="K29" i="9"/>
  <c r="K70" i="9" s="1"/>
  <c r="D8" i="12"/>
  <c r="D49" i="12" s="1"/>
  <c r="D8" i="9"/>
  <c r="D49" i="9" s="1"/>
  <c r="H29" i="12"/>
  <c r="H70" i="12" s="1"/>
  <c r="C29" i="12"/>
  <c r="H28" i="12"/>
  <c r="H69" i="12" s="1"/>
  <c r="C28" i="12"/>
  <c r="H27" i="12"/>
  <c r="H68" i="12" s="1"/>
  <c r="C27" i="12"/>
  <c r="H26" i="12"/>
  <c r="H67" i="12" s="1"/>
  <c r="K25" i="12"/>
  <c r="K66" i="12" s="1"/>
  <c r="G66" i="12"/>
  <c r="K24" i="12"/>
  <c r="K65" i="12" s="1"/>
  <c r="G65" i="12"/>
  <c r="K23" i="12"/>
  <c r="K64" i="12" s="1"/>
  <c r="G64" i="12"/>
  <c r="K63" i="12"/>
  <c r="G63" i="12"/>
  <c r="K62" i="12"/>
  <c r="G62" i="12"/>
  <c r="K61" i="12"/>
  <c r="G12" i="9"/>
  <c r="G53" i="9" s="1"/>
  <c r="H13" i="9"/>
  <c r="H54" i="9" s="1"/>
  <c r="K14" i="9"/>
  <c r="K55" i="9" s="1"/>
  <c r="G8" i="12"/>
  <c r="G49" i="12" s="1"/>
  <c r="K12" i="12"/>
  <c r="K53" i="12" s="1"/>
  <c r="K54" i="12"/>
  <c r="K16" i="12"/>
  <c r="K57" i="12" s="1"/>
  <c r="K58" i="12"/>
  <c r="K59" i="12"/>
  <c r="K60" i="12"/>
  <c r="K29" i="12"/>
  <c r="K70" i="12" s="1"/>
  <c r="C13" i="9"/>
  <c r="D13" i="9" s="1"/>
  <c r="D54" i="9" s="1"/>
  <c r="G14" i="9"/>
  <c r="G55" i="9" s="1"/>
  <c r="K12" i="9"/>
  <c r="K53" i="9" s="1"/>
  <c r="G53" i="12"/>
  <c r="G58" i="12"/>
  <c r="G59" i="12"/>
  <c r="G60" i="12"/>
  <c r="G61" i="12"/>
  <c r="C12" i="9"/>
  <c r="D12" i="9" s="1"/>
  <c r="D53" i="9" s="1"/>
  <c r="C14" i="9"/>
  <c r="D14" i="9" s="1"/>
  <c r="D55" i="9" s="1"/>
  <c r="G13" i="9"/>
  <c r="G54" i="9" s="1"/>
  <c r="H14" i="9"/>
  <c r="H55" i="9" s="1"/>
  <c r="H12" i="9"/>
  <c r="H53" i="9" s="1"/>
  <c r="K13" i="9"/>
  <c r="K54" i="9" s="1"/>
  <c r="C53" i="12"/>
  <c r="H16" i="12"/>
  <c r="H57" i="12" s="1"/>
  <c r="C58" i="12"/>
  <c r="H58" i="12"/>
  <c r="C59" i="12"/>
  <c r="H59" i="12"/>
  <c r="C60" i="12"/>
  <c r="H60" i="12"/>
  <c r="C61" i="12"/>
  <c r="H61" i="12"/>
  <c r="C62" i="12"/>
  <c r="H62" i="12"/>
  <c r="C63" i="12"/>
  <c r="H63" i="12"/>
  <c r="C23" i="12"/>
  <c r="C64" i="12" s="1"/>
  <c r="H23" i="12"/>
  <c r="H64" i="12" s="1"/>
  <c r="C24" i="12"/>
  <c r="C65" i="12" s="1"/>
  <c r="H24" i="12"/>
  <c r="H65" i="12" s="1"/>
  <c r="C25" i="12"/>
  <c r="C66" i="12" s="1"/>
  <c r="H25" i="12"/>
  <c r="H66" i="12" s="1"/>
  <c r="C26" i="12"/>
  <c r="C67" i="12" s="1"/>
  <c r="G67" i="12"/>
  <c r="K26" i="12"/>
  <c r="K67" i="12" s="1"/>
  <c r="G68" i="12"/>
  <c r="K27" i="12"/>
  <c r="K68" i="12" s="1"/>
  <c r="G69" i="12"/>
  <c r="K28" i="12"/>
  <c r="K69" i="12" s="1"/>
  <c r="G70" i="12"/>
  <c r="G49" i="9"/>
  <c r="C15" i="9"/>
  <c r="D15" i="9" s="1"/>
  <c r="D56" i="9" s="1"/>
  <c r="C17" i="9"/>
  <c r="D17" i="9" s="1"/>
  <c r="D58" i="9" s="1"/>
  <c r="C19" i="9"/>
  <c r="D19" i="9" s="1"/>
  <c r="D60" i="9" s="1"/>
  <c r="C21" i="9"/>
  <c r="D21" i="9" s="1"/>
  <c r="D62" i="9" s="1"/>
  <c r="C23" i="9"/>
  <c r="D23" i="9" s="1"/>
  <c r="D64" i="9" s="1"/>
  <c r="C25" i="9"/>
  <c r="D25" i="9" s="1"/>
  <c r="D66" i="9" s="1"/>
  <c r="C27" i="9"/>
  <c r="D27" i="9" s="1"/>
  <c r="D68" i="9" s="1"/>
  <c r="C29" i="9"/>
  <c r="D29" i="9" s="1"/>
  <c r="D70" i="9" s="1"/>
  <c r="G15" i="9"/>
  <c r="G56" i="9" s="1"/>
  <c r="G17" i="9"/>
  <c r="G58" i="9" s="1"/>
  <c r="G19" i="9"/>
  <c r="G60" i="9" s="1"/>
  <c r="G21" i="9"/>
  <c r="G62" i="9" s="1"/>
  <c r="G23" i="9"/>
  <c r="G64" i="9" s="1"/>
  <c r="G25" i="9"/>
  <c r="G66" i="9" s="1"/>
  <c r="G27" i="9"/>
  <c r="G68" i="9" s="1"/>
  <c r="G29" i="9"/>
  <c r="G70" i="9" s="1"/>
  <c r="H16" i="9"/>
  <c r="H57" i="9" s="1"/>
  <c r="H18" i="9"/>
  <c r="H59" i="9" s="1"/>
  <c r="H20" i="9"/>
  <c r="H61" i="9" s="1"/>
  <c r="H22" i="9"/>
  <c r="H63" i="9" s="1"/>
  <c r="H24" i="9"/>
  <c r="H65" i="9" s="1"/>
  <c r="H26" i="9"/>
  <c r="H67" i="9" s="1"/>
  <c r="H28" i="9"/>
  <c r="H69" i="9" s="1"/>
  <c r="K16" i="9"/>
  <c r="K57" i="9" s="1"/>
  <c r="K18" i="9"/>
  <c r="K59" i="9" s="1"/>
  <c r="K20" i="9"/>
  <c r="K61" i="9" s="1"/>
  <c r="K22" i="9"/>
  <c r="K63" i="9" s="1"/>
  <c r="K24" i="9"/>
  <c r="K65" i="9" s="1"/>
  <c r="K26" i="9"/>
  <c r="K67" i="9" s="1"/>
  <c r="K28" i="9"/>
  <c r="K69" i="9" s="1"/>
  <c r="C16" i="9"/>
  <c r="D16" i="9" s="1"/>
  <c r="D57" i="9" s="1"/>
  <c r="C18" i="9"/>
  <c r="D18" i="9" s="1"/>
  <c r="D59" i="9" s="1"/>
  <c r="C20" i="9"/>
  <c r="D20" i="9" s="1"/>
  <c r="D61" i="9" s="1"/>
  <c r="C22" i="9"/>
  <c r="D22" i="9" s="1"/>
  <c r="D63" i="9" s="1"/>
  <c r="C24" i="9"/>
  <c r="D24" i="9" s="1"/>
  <c r="D65" i="9" s="1"/>
  <c r="C26" i="9"/>
  <c r="D26" i="9" s="1"/>
  <c r="D67" i="9" s="1"/>
  <c r="C28" i="9"/>
  <c r="D28" i="9" s="1"/>
  <c r="D69" i="9" s="1"/>
  <c r="G16" i="9"/>
  <c r="G57" i="9" s="1"/>
  <c r="G18" i="9"/>
  <c r="G59" i="9" s="1"/>
  <c r="G20" i="9"/>
  <c r="G61" i="9" s="1"/>
  <c r="G22" i="9"/>
  <c r="G63" i="9" s="1"/>
  <c r="G24" i="9"/>
  <c r="G65" i="9" s="1"/>
  <c r="G26" i="9"/>
  <c r="G67" i="9" s="1"/>
  <c r="G28" i="9"/>
  <c r="G69" i="9" s="1"/>
  <c r="H15" i="9"/>
  <c r="H56" i="9" s="1"/>
  <c r="H17" i="9"/>
  <c r="H58" i="9" s="1"/>
  <c r="H19" i="9"/>
  <c r="H60" i="9" s="1"/>
  <c r="H21" i="9"/>
  <c r="H62" i="9" s="1"/>
  <c r="H23" i="9"/>
  <c r="H64" i="9" s="1"/>
  <c r="H25" i="9"/>
  <c r="H66" i="9" s="1"/>
  <c r="H27" i="9"/>
  <c r="H68" i="9" s="1"/>
  <c r="H29" i="9"/>
  <c r="H70" i="9" s="1"/>
  <c r="K15" i="9"/>
  <c r="K56" i="9" s="1"/>
  <c r="K17" i="9"/>
  <c r="K58" i="9" s="1"/>
  <c r="K19" i="9"/>
  <c r="K60" i="9" s="1"/>
  <c r="K21" i="9"/>
  <c r="K62" i="9" s="1"/>
  <c r="K23" i="9"/>
  <c r="K64" i="9" s="1"/>
  <c r="K25" i="9"/>
  <c r="K66" i="9" s="1"/>
  <c r="K27" i="9"/>
  <c r="K68" i="9" s="1"/>
  <c r="K111" i="12" l="1"/>
  <c r="K152" i="12" s="1"/>
  <c r="D267" i="12"/>
  <c r="D308" i="12" s="1"/>
  <c r="C308" i="12"/>
  <c r="D107" i="12"/>
  <c r="D148" i="12" s="1"/>
  <c r="C148" i="12"/>
  <c r="C307" i="12"/>
  <c r="D266" i="12"/>
  <c r="D307" i="12" s="1"/>
  <c r="D108" i="12"/>
  <c r="D149" i="12" s="1"/>
  <c r="C149" i="12"/>
  <c r="D105" i="12"/>
  <c r="D146" i="12" s="1"/>
  <c r="C146" i="12"/>
  <c r="K134" i="12"/>
  <c r="D262" i="12"/>
  <c r="D303" i="12" s="1"/>
  <c r="C303" i="12"/>
  <c r="D261" i="12"/>
  <c r="D302" i="12" s="1"/>
  <c r="C302" i="12"/>
  <c r="D92" i="12"/>
  <c r="D133" i="12" s="1"/>
  <c r="C133" i="12"/>
  <c r="D106" i="12"/>
  <c r="D147" i="12" s="1"/>
  <c r="C147" i="12"/>
  <c r="D103" i="12"/>
  <c r="D144" i="12" s="1"/>
  <c r="C144" i="12"/>
  <c r="D104" i="12"/>
  <c r="D145" i="12" s="1"/>
  <c r="C145" i="12"/>
  <c r="C59" i="9"/>
  <c r="D102" i="12"/>
  <c r="D143" i="12" s="1"/>
  <c r="C143" i="12"/>
  <c r="H270" i="12"/>
  <c r="H302" i="12"/>
  <c r="K295" i="12"/>
  <c r="K270" i="12"/>
  <c r="K311" i="12" s="1"/>
  <c r="D91" i="12"/>
  <c r="D132" i="12" s="1"/>
  <c r="C132" i="12"/>
  <c r="C304" i="12"/>
  <c r="D263" i="12"/>
  <c r="D304" i="12" s="1"/>
  <c r="D264" i="12"/>
  <c r="D305" i="12" s="1"/>
  <c r="C305" i="12"/>
  <c r="D265" i="12"/>
  <c r="D306" i="12" s="1"/>
  <c r="C306" i="12"/>
  <c r="H132" i="12"/>
  <c r="H111" i="12"/>
  <c r="H152" i="12" s="1"/>
  <c r="K55" i="12"/>
  <c r="I38" i="12"/>
  <c r="I79" i="12" s="1"/>
  <c r="C57" i="9"/>
  <c r="C55" i="9"/>
  <c r="D216" i="12"/>
  <c r="C216" i="12"/>
  <c r="C217" i="12"/>
  <c r="D217" i="12"/>
  <c r="D218" i="12"/>
  <c r="C218" i="12"/>
  <c r="C219" i="12"/>
  <c r="D219" i="12"/>
  <c r="C220" i="12"/>
  <c r="D220" i="12"/>
  <c r="C221" i="12"/>
  <c r="D221" i="12"/>
  <c r="D170" i="12"/>
  <c r="D211" i="12" s="1"/>
  <c r="C211" i="12"/>
  <c r="K215" i="12"/>
  <c r="K190" i="12"/>
  <c r="K231" i="12" s="1"/>
  <c r="C222" i="12"/>
  <c r="D181" i="12"/>
  <c r="D222" i="12" s="1"/>
  <c r="C223" i="12"/>
  <c r="D182" i="12"/>
  <c r="D223" i="12" s="1"/>
  <c r="C224" i="12"/>
  <c r="D183" i="12"/>
  <c r="D224" i="12" s="1"/>
  <c r="C225" i="12"/>
  <c r="D184" i="12"/>
  <c r="D225" i="12" s="1"/>
  <c r="C226" i="12"/>
  <c r="D185" i="12"/>
  <c r="D226" i="12" s="1"/>
  <c r="C227" i="12"/>
  <c r="D186" i="12"/>
  <c r="D227" i="12" s="1"/>
  <c r="C228" i="12"/>
  <c r="D187" i="12"/>
  <c r="D228" i="12" s="1"/>
  <c r="H190" i="12"/>
  <c r="I237" i="12"/>
  <c r="H213" i="12"/>
  <c r="D27" i="12"/>
  <c r="D68" i="12" s="1"/>
  <c r="C68" i="12"/>
  <c r="D28" i="12"/>
  <c r="D69" i="12" s="1"/>
  <c r="C69" i="12"/>
  <c r="D29" i="12"/>
  <c r="D70" i="12" s="1"/>
  <c r="C70" i="12"/>
  <c r="C56" i="9"/>
  <c r="C60" i="9"/>
  <c r="C54" i="9"/>
  <c r="C53" i="9"/>
  <c r="D26" i="12"/>
  <c r="D67" i="12" s="1"/>
  <c r="D25" i="12"/>
  <c r="D66" i="12" s="1"/>
  <c r="D24" i="12"/>
  <c r="D65" i="12" s="1"/>
  <c r="D23" i="12"/>
  <c r="D64" i="12" s="1"/>
  <c r="D63" i="12"/>
  <c r="D62" i="12"/>
  <c r="D61" i="12"/>
  <c r="D60" i="12"/>
  <c r="D59" i="12"/>
  <c r="D58" i="12"/>
  <c r="D16" i="12"/>
  <c r="D57" i="12" s="1"/>
  <c r="D13" i="12"/>
  <c r="D54" i="12" s="1"/>
  <c r="D15" i="12"/>
  <c r="D56" i="12" s="1"/>
  <c r="D12" i="12"/>
  <c r="D53" i="12" s="1"/>
  <c r="C58" i="9"/>
  <c r="K32" i="12"/>
  <c r="K73" i="12" s="1"/>
  <c r="H32" i="12"/>
  <c r="H73" i="12" s="1"/>
  <c r="C61" i="9"/>
  <c r="H32" i="9"/>
  <c r="H73" i="9" s="1"/>
  <c r="K32" i="9"/>
  <c r="K73" i="9" s="1"/>
  <c r="C67" i="9"/>
  <c r="C63" i="9"/>
  <c r="C69" i="9"/>
  <c r="C65" i="9"/>
  <c r="C62" i="9"/>
  <c r="C68" i="9"/>
  <c r="C64" i="9"/>
  <c r="H311" i="12" l="1"/>
  <c r="K272" i="12"/>
  <c r="K313" i="12" s="1"/>
  <c r="K113" i="12"/>
  <c r="K154" i="12" s="1"/>
  <c r="H231" i="12"/>
  <c r="K192" i="12"/>
  <c r="K233" i="12" s="1"/>
  <c r="K34" i="12"/>
  <c r="K75" i="12" s="1"/>
  <c r="K34" i="9"/>
  <c r="K75" i="9" s="1"/>
  <c r="C70" i="9"/>
  <c r="C66" i="9"/>
</calcChain>
</file>

<file path=xl/sharedStrings.xml><?xml version="1.0" encoding="utf-8"?>
<sst xmlns="http://schemas.openxmlformats.org/spreadsheetml/2006/main" count="367" uniqueCount="58">
  <si>
    <t>INSS</t>
  </si>
  <si>
    <t>Descrição</t>
  </si>
  <si>
    <t>Vencimentos</t>
  </si>
  <si>
    <t>Descontos</t>
  </si>
  <si>
    <t>Total de Descontos</t>
  </si>
  <si>
    <t>Recibo de Pagamento de Salário</t>
  </si>
  <si>
    <t>JANEIRO/2011</t>
  </si>
  <si>
    <t>NOME DA EMPRESA LTDA</t>
  </si>
  <si>
    <t>CNPJ: 00.000.000/001-36</t>
  </si>
  <si>
    <t>Código</t>
  </si>
  <si>
    <t>Nome do Funcionário</t>
  </si>
  <si>
    <t>CBO</t>
  </si>
  <si>
    <t>Emp.</t>
  </si>
  <si>
    <t>Local</t>
  </si>
  <si>
    <t>Depto.</t>
  </si>
  <si>
    <t>Setor</t>
  </si>
  <si>
    <t>Seção</t>
  </si>
  <si>
    <t>Fl.</t>
  </si>
  <si>
    <t>Salário Base</t>
  </si>
  <si>
    <t>Sal. Contr. INSS</t>
  </si>
  <si>
    <t>Base Cálc. FGTS</t>
  </si>
  <si>
    <t>FGTS do Mês</t>
  </si>
  <si>
    <t>Cód.</t>
  </si>
  <si>
    <t>Referência</t>
  </si>
  <si>
    <t>Total de Vencimentos</t>
  </si>
  <si>
    <t>Valor Líquido</t>
  </si>
  <si>
    <t>Faixa IRRF</t>
  </si>
  <si>
    <t>Base Cálc. IRRF</t>
  </si>
  <si>
    <t>IRFF S.SALARIO</t>
  </si>
  <si>
    <t xml:space="preserve">DECLARO TER RECEBIDO  A I MPOTÂNCIA LÍQUIDA DISCRIMINADA NESTE RECIBO
</t>
  </si>
  <si>
    <t>DATA</t>
  </si>
  <si>
    <t>ASSINATURA DO FUNCIONÁRIO</t>
  </si>
  <si>
    <t>________________________________</t>
  </si>
  <si>
    <t>_____/_____/_____</t>
  </si>
  <si>
    <t>- - - - - - - - - - - - - - - - - - - - - - - - - - - - - - - - - - - - - - - - - - - - - - - - - - - - - - - - - - - - corte arqui - - - - - - - - - - - - - - - - - - - - - - - - - - - - - - - - - - - - - - - - - - - - - - - - - - - - - - - - - - - -</t>
  </si>
  <si>
    <t>SALARIO</t>
  </si>
  <si>
    <t>Matrícula</t>
  </si>
  <si>
    <t>Nome</t>
  </si>
  <si>
    <t>30 d</t>
  </si>
  <si>
    <t>Cargo</t>
  </si>
  <si>
    <t>Sequência</t>
  </si>
  <si>
    <t>Chave</t>
  </si>
  <si>
    <t>SISTEMA DE IMPRESSÃO DE HOLERITES</t>
  </si>
  <si>
    <t>RECEPCIONISTA</t>
  </si>
  <si>
    <t>SALARIO FAMILIA</t>
  </si>
  <si>
    <t>MAYARA SILVA DE SOUZA &amp; CIA LTDA</t>
  </si>
  <si>
    <t>CNPJ: 22.900.819/0001-48</t>
  </si>
  <si>
    <t>-</t>
  </si>
  <si>
    <t>01</t>
  </si>
  <si>
    <t xml:space="preserve">13º . Adiantamento 11/2018 </t>
  </si>
  <si>
    <t>13º SALARIO ADIANTADO</t>
  </si>
  <si>
    <t xml:space="preserve">13º SALARIO INTEGRAL </t>
  </si>
  <si>
    <t xml:space="preserve">13º . Integral 12/2018 </t>
  </si>
  <si>
    <t>INSS 13º SALARIO</t>
  </si>
  <si>
    <t>INSS 13º SALARIO FAMILIA</t>
  </si>
  <si>
    <t>02/2019</t>
  </si>
  <si>
    <t>ANA PAULA PIRES DE CARVALHO</t>
  </si>
  <si>
    <t>11/2023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</si>
</sst>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(* #,##0.00_);_(* \(#,##0.00\);_(* &quot;-&quot;??_);_(@_)"/>
    <numFmt numFmtId="165" formatCode="00"/>
    <numFmt numFmtId="166" formatCode="000"/>
    <numFmt numFmtId="168" formatCode="0.0%"/>
  </numFmts>
  <fonts count="22">
    <font>
      <sz val="10"/>
      <name val="Arial"/>
    </font>
    <font>
      <sz val="10"/>
      <name val="Arial"/>
    </font>
    <font>
      <sz val="10"/>
      <name val="Arial"/>
      <family val="2"/>
    </font>
    <font>
      <sz val="10"/>
      <name val="xpaider pixel explosion 02"/>
    </font>
    <font>
      <sz val="10"/>
      <name val="Consolas"/>
      <family val="3"/>
    </font>
    <font>
      <sz val="8"/>
      <name val="Calibri"/>
      <family val="2"/>
      <scheme val="major"/>
    </font>
    <font>
      <sz val="8"/>
      <color rgb="FF00B050"/>
      <name val="Calibri"/>
      <family val="2"/>
      <scheme val="major"/>
    </font>
    <font>
      <sz val="11"/>
      <name val="Calibri"/>
      <family val="2"/>
      <scheme val="major"/>
    </font>
    <font>
      <sz val="8"/>
      <color theme="1" tint="0.499984740745262"/>
      <name val="Calibri"/>
      <family val="2"/>
      <scheme val="major"/>
    </font>
    <font>
      <sz val="7"/>
      <color theme="1" tint="0.499984740745262"/>
      <name val="Calibri"/>
      <family val="2"/>
      <scheme val="major"/>
    </font>
    <font>
      <sz val="8"/>
      <color theme="0" tint="-0.499984740745262"/>
      <name val="Arial"/>
      <family val="2"/>
    </font>
    <font>
      <sz val="10"/>
      <color rgb="FF00B050"/>
      <name val="xpaider pixel explosion 02"/>
    </font>
    <font>
      <sz val="11"/>
      <color rgb="FF00B050"/>
      <name val="Calibri"/>
      <family val="2"/>
      <scheme val="major"/>
    </font>
    <font>
      <sz val="10"/>
      <color theme="1" tint="0.499984740745262"/>
      <name val="xpaider pixel explosion 02"/>
    </font>
    <font>
      <sz val="11"/>
      <color theme="1" tint="0.499984740745262"/>
      <name val="Calibri"/>
      <family val="2"/>
      <scheme val="major"/>
    </font>
    <font>
      <b/>
      <sz val="11.5"/>
      <color rgb="FF00B050"/>
      <name val="Arial"/>
      <family val="2"/>
    </font>
    <font>
      <sz val="7"/>
      <color rgb="FF00B050"/>
      <name val="Calibri"/>
      <family val="2"/>
      <scheme val="major"/>
    </font>
    <font>
      <sz val="9"/>
      <color rgb="FF00B050"/>
      <name val="Calibri"/>
      <family val="2"/>
      <scheme val="major"/>
    </font>
    <font>
      <b/>
      <sz val="11.5"/>
      <color theme="1" tint="0.499984740745262"/>
      <name val="Arial"/>
      <family val="2"/>
    </font>
    <font>
      <sz val="9"/>
      <color theme="1" tint="0.499984740745262"/>
      <name val="Calibri"/>
      <family val="2"/>
      <scheme val="major"/>
    </font>
    <font>
      <sz val="10"/>
      <color theme="0"/>
      <name val="xpaider pixel explosion 02"/>
    </font>
    <font>
      <b/>
      <sz val="20"/>
      <color theme="3"/>
      <name val="Arial"/>
      <family val="2"/>
    </font>
  </fonts>
  <fills count="9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C0E399"/>
        </stop>
      </gradientFill>
    </fill>
    <fill>
      <patternFill patternType="solid">
        <fgColor rgb="FFBEECBF"/>
        <bgColor indexed="64"/>
      </patternFill>
    </fill>
    <fill>
      <gradientFill degree="90">
        <stop position="0">
          <color theme="0"/>
        </stop>
        <stop position="1">
          <color rgb="FFBEECBF"/>
        </stop>
      </gradient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gradientFill>
        <stop position="0">
          <color theme="0"/>
        </stop>
        <stop position="1">
          <color rgb="FFBEECBF"/>
        </stop>
      </gradientFill>
    </fill>
    <fill>
      <patternFill patternType="solid">
        <fgColor theme="0"/>
        <bgColor indexed="9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4" fillId="2" borderId="1" applyFont="0" applyBorder="0" applyAlignment="0">
      <alignment horizontal="left"/>
    </xf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57">
    <xf numFmtId="0" fontId="0" fillId="0" borderId="0" xfId="0"/>
    <xf numFmtId="0" fontId="3" fillId="0" borderId="0" xfId="0" applyFont="1"/>
    <xf numFmtId="0" fontId="5" fillId="0" borderId="0" xfId="0" applyFont="1" applyAlignment="1">
      <alignment vertical="top"/>
    </xf>
    <xf numFmtId="0" fontId="5" fillId="0" borderId="0" xfId="0" applyFont="1" applyAlignment="1">
      <alignment horizontal="right" vertical="top"/>
    </xf>
    <xf numFmtId="0" fontId="3" fillId="3" borderId="0" xfId="0" applyFont="1" applyFill="1" applyBorder="1"/>
    <xf numFmtId="0" fontId="3" fillId="3" borderId="0" xfId="0" applyFont="1" applyFill="1" applyBorder="1" applyAlignment="1">
      <alignment vertical="distributed" textRotation="90"/>
    </xf>
    <xf numFmtId="0" fontId="6" fillId="4" borderId="0" xfId="0" applyFont="1" applyFill="1" applyBorder="1" applyAlignment="1">
      <alignment horizontal="right" vertical="top"/>
    </xf>
    <xf numFmtId="0" fontId="6" fillId="4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2"/>
    </xf>
    <xf numFmtId="0" fontId="6" fillId="4" borderId="0" xfId="0" applyFont="1" applyFill="1" applyBorder="1" applyAlignment="1">
      <alignment horizontal="left" vertical="top"/>
    </xf>
    <xf numFmtId="0" fontId="6" fillId="4" borderId="0" xfId="0" applyFont="1" applyFill="1" applyBorder="1" applyAlignment="1">
      <alignment horizontal="center" vertical="top"/>
    </xf>
    <xf numFmtId="166" fontId="4" fillId="3" borderId="0" xfId="0" applyNumberFormat="1" applyFont="1" applyFill="1" applyBorder="1" applyAlignment="1">
      <alignment horizontal="center"/>
    </xf>
    <xf numFmtId="4" fontId="4" fillId="3" borderId="0" xfId="0" applyNumberFormat="1" applyFont="1" applyFill="1" applyBorder="1" applyAlignment="1">
      <alignment horizontal="left"/>
    </xf>
    <xf numFmtId="4" fontId="4" fillId="3" borderId="0" xfId="0" applyNumberFormat="1" applyFont="1" applyFill="1" applyBorder="1" applyAlignment="1">
      <alignment horizontal="left" indent="1"/>
    </xf>
    <xf numFmtId="0" fontId="7" fillId="3" borderId="0" xfId="0" applyFont="1" applyFill="1" applyBorder="1" applyAlignment="1">
      <alignment vertical="distributed" textRotation="90"/>
    </xf>
    <xf numFmtId="0" fontId="3" fillId="5" borderId="0" xfId="0" applyFont="1" applyFill="1" applyBorder="1"/>
    <xf numFmtId="0" fontId="5" fillId="5" borderId="0" xfId="0" applyFont="1" applyFill="1" applyBorder="1" applyAlignment="1">
      <alignment horizontal="right" vertical="top"/>
    </xf>
    <xf numFmtId="0" fontId="5" fillId="5" borderId="0" xfId="0" applyFont="1" applyFill="1" applyBorder="1" applyAlignment="1">
      <alignment vertical="top"/>
    </xf>
    <xf numFmtId="0" fontId="3" fillId="5" borderId="2" xfId="0" applyFont="1" applyFill="1" applyBorder="1"/>
    <xf numFmtId="0" fontId="3" fillId="5" borderId="3" xfId="0" applyFont="1" applyFill="1" applyBorder="1"/>
    <xf numFmtId="0" fontId="3" fillId="5" borderId="4" xfId="0" applyFont="1" applyFill="1" applyBorder="1"/>
    <xf numFmtId="0" fontId="3" fillId="5" borderId="5" xfId="0" applyFont="1" applyFill="1" applyBorder="1"/>
    <xf numFmtId="0" fontId="5" fillId="5" borderId="5" xfId="0" applyFont="1" applyFill="1" applyBorder="1" applyAlignment="1">
      <alignment horizontal="right" vertical="top"/>
    </xf>
    <xf numFmtId="0" fontId="5" fillId="5" borderId="5" xfId="0" applyFont="1" applyFill="1" applyBorder="1" applyAlignment="1">
      <alignment vertical="top"/>
    </xf>
    <xf numFmtId="0" fontId="3" fillId="5" borderId="6" xfId="0" applyFont="1" applyFill="1" applyBorder="1"/>
    <xf numFmtId="0" fontId="3" fillId="5" borderId="7" xfId="0" applyFont="1" applyFill="1" applyBorder="1"/>
    <xf numFmtId="0" fontId="5" fillId="5" borderId="7" xfId="0" applyFont="1" applyFill="1" applyBorder="1" applyAlignment="1">
      <alignment horizontal="right" vertical="top"/>
    </xf>
    <xf numFmtId="0" fontId="5" fillId="5" borderId="7" xfId="0" applyFont="1" applyFill="1" applyBorder="1" applyAlignment="1">
      <alignment vertical="top"/>
    </xf>
    <xf numFmtId="0" fontId="3" fillId="5" borderId="8" xfId="0" applyFont="1" applyFill="1" applyBorder="1"/>
    <xf numFmtId="0" fontId="3" fillId="5" borderId="9" xfId="0" applyFont="1" applyFill="1" applyBorder="1"/>
    <xf numFmtId="0" fontId="3" fillId="6" borderId="0" xfId="0" applyFont="1" applyFill="1"/>
    <xf numFmtId="0" fontId="5" fillId="6" borderId="0" xfId="0" applyFont="1" applyFill="1" applyAlignment="1">
      <alignment horizontal="right" vertical="top"/>
    </xf>
    <xf numFmtId="0" fontId="5" fillId="6" borderId="0" xfId="0" applyFont="1" applyFill="1" applyAlignment="1">
      <alignment vertical="top"/>
    </xf>
    <xf numFmtId="0" fontId="6" fillId="7" borderId="0" xfId="0" applyFont="1" applyFill="1" applyBorder="1" applyAlignment="1">
      <alignment horizontal="center" vertical="center"/>
    </xf>
    <xf numFmtId="166" fontId="4" fillId="5" borderId="10" xfId="0" applyNumberFormat="1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49" fontId="4" fillId="5" borderId="0" xfId="0" applyNumberFormat="1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9" fillId="5" borderId="0" xfId="0" applyFont="1" applyFill="1" applyBorder="1" applyAlignment="1">
      <alignment horizontal="left" vertical="center"/>
    </xf>
    <xf numFmtId="4" fontId="4" fillId="5" borderId="0" xfId="0" applyNumberFormat="1" applyFont="1" applyFill="1" applyBorder="1" applyAlignment="1">
      <alignment horizontal="center" vertical="center"/>
    </xf>
    <xf numFmtId="4" fontId="4" fillId="5" borderId="11" xfId="0" applyNumberFormat="1" applyFont="1" applyFill="1" applyBorder="1" applyAlignment="1">
      <alignment horizontal="left"/>
    </xf>
    <xf numFmtId="4" fontId="4" fillId="5" borderId="11" xfId="0" applyNumberFormat="1" applyFont="1" applyFill="1" applyBorder="1" applyAlignment="1">
      <alignment horizontal="left" indent="1"/>
    </xf>
    <xf numFmtId="0" fontId="2" fillId="0" borderId="0" xfId="0" applyFont="1"/>
    <xf numFmtId="0" fontId="3" fillId="5" borderId="0" xfId="0" applyFont="1" applyFill="1"/>
    <xf numFmtId="0" fontId="10" fillId="6" borderId="0" xfId="0" applyFont="1" applyFill="1" applyAlignment="1">
      <alignment horizontal="center" vertical="center"/>
    </xf>
    <xf numFmtId="0" fontId="11" fillId="3" borderId="0" xfId="0" applyFont="1" applyFill="1" applyBorder="1"/>
    <xf numFmtId="0" fontId="11" fillId="3" borderId="0" xfId="0" applyFont="1" applyFill="1" applyBorder="1" applyAlignment="1">
      <alignment vertical="distributed" textRotation="90"/>
    </xf>
    <xf numFmtId="0" fontId="12" fillId="3" borderId="0" xfId="0" applyFont="1" applyFill="1" applyBorder="1" applyAlignment="1">
      <alignment vertical="distributed" textRotation="90"/>
    </xf>
    <xf numFmtId="0" fontId="8" fillId="8" borderId="1" xfId="0" applyFont="1" applyFill="1" applyBorder="1" applyAlignment="1">
      <alignment horizontal="right" vertical="top"/>
    </xf>
    <xf numFmtId="0" fontId="8" fillId="8" borderId="15" xfId="0" applyFont="1" applyFill="1" applyBorder="1" applyAlignment="1">
      <alignment horizontal="left" vertical="top" indent="2"/>
    </xf>
    <xf numFmtId="0" fontId="8" fillId="8" borderId="15" xfId="0" applyFont="1" applyFill="1" applyBorder="1" applyAlignment="1">
      <alignment horizontal="left" vertical="top"/>
    </xf>
    <xf numFmtId="0" fontId="8" fillId="8" borderId="15" xfId="0" applyFont="1" applyFill="1" applyBorder="1" applyAlignment="1">
      <alignment horizontal="right" vertical="top"/>
    </xf>
    <xf numFmtId="0" fontId="8" fillId="8" borderId="16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left" vertical="top" indent="1"/>
    </xf>
    <xf numFmtId="0" fontId="8" fillId="8" borderId="15" xfId="0" applyFont="1" applyFill="1" applyBorder="1" applyAlignment="1">
      <alignment horizontal="center" vertical="top"/>
    </xf>
    <xf numFmtId="0" fontId="8" fillId="8" borderId="17" xfId="0" applyFont="1" applyFill="1" applyBorder="1" applyAlignment="1">
      <alignment horizontal="center" vertical="top"/>
    </xf>
    <xf numFmtId="0" fontId="4" fillId="7" borderId="0" xfId="0" applyNumberFormat="1" applyFont="1" applyFill="1" applyBorder="1" applyAlignment="1">
      <alignment horizontal="center" vertical="top"/>
    </xf>
    <xf numFmtId="2" fontId="4" fillId="3" borderId="0" xfId="0" applyNumberFormat="1" applyFont="1" applyFill="1" applyBorder="1" applyAlignment="1">
      <alignment horizontal="left"/>
    </xf>
    <xf numFmtId="2" fontId="4" fillId="3" borderId="0" xfId="0" applyNumberFormat="1" applyFont="1" applyFill="1" applyBorder="1" applyAlignment="1">
      <alignment horizontal="left" indent="1"/>
    </xf>
    <xf numFmtId="165" fontId="4" fillId="7" borderId="0" xfId="0" applyNumberFormat="1" applyFont="1" applyFill="1" applyBorder="1" applyAlignment="1">
      <alignment horizontal="center" vertical="top"/>
    </xf>
    <xf numFmtId="165" fontId="4" fillId="8" borderId="12" xfId="0" applyNumberFormat="1" applyFont="1" applyFill="1" applyBorder="1" applyAlignment="1">
      <alignment horizontal="center" vertical="top"/>
    </xf>
    <xf numFmtId="165" fontId="4" fillId="8" borderId="13" xfId="0" applyNumberFormat="1" applyFont="1" applyFill="1" applyBorder="1" applyAlignment="1">
      <alignment horizontal="center" vertical="top"/>
    </xf>
    <xf numFmtId="165" fontId="4" fillId="8" borderId="14" xfId="0" applyNumberFormat="1" applyFont="1" applyFill="1" applyBorder="1" applyAlignment="1">
      <alignment horizontal="center" vertical="top"/>
    </xf>
    <xf numFmtId="0" fontId="13" fillId="5" borderId="15" xfId="0" applyFont="1" applyFill="1" applyBorder="1"/>
    <xf numFmtId="0" fontId="13" fillId="5" borderId="17" xfId="0" applyFont="1" applyFill="1" applyBorder="1"/>
    <xf numFmtId="0" fontId="13" fillId="5" borderId="18" xfId="0" applyFont="1" applyFill="1" applyBorder="1" applyAlignment="1">
      <alignment vertical="distributed" textRotation="90"/>
    </xf>
    <xf numFmtId="0" fontId="13" fillId="5" borderId="0" xfId="0" applyFont="1" applyFill="1" applyBorder="1"/>
    <xf numFmtId="0" fontId="13" fillId="5" borderId="18" xfId="0" applyFont="1" applyFill="1" applyBorder="1"/>
    <xf numFmtId="0" fontId="14" fillId="5" borderId="11" xfId="0" applyFont="1" applyFill="1" applyBorder="1" applyAlignment="1">
      <alignment vertical="distributed" textRotation="90"/>
    </xf>
    <xf numFmtId="0" fontId="14" fillId="5" borderId="19" xfId="0" applyFont="1" applyFill="1" applyBorder="1" applyAlignment="1">
      <alignment vertical="distributed" textRotation="90"/>
    </xf>
    <xf numFmtId="0" fontId="4" fillId="8" borderId="12" xfId="0" applyNumberFormat="1" applyFont="1" applyFill="1" applyBorder="1" applyAlignment="1">
      <alignment horizontal="center" vertical="top"/>
    </xf>
    <xf numFmtId="0" fontId="4" fillId="8" borderId="13" xfId="0" applyNumberFormat="1" applyFont="1" applyFill="1" applyBorder="1" applyAlignment="1">
      <alignment horizontal="center" vertical="top"/>
    </xf>
    <xf numFmtId="2" fontId="4" fillId="5" borderId="11" xfId="0" applyNumberFormat="1" applyFont="1" applyFill="1" applyBorder="1" applyAlignment="1">
      <alignment horizontal="left"/>
    </xf>
    <xf numFmtId="0" fontId="8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left" vertical="top" indent="1"/>
    </xf>
    <xf numFmtId="0" fontId="8" fillId="8" borderId="16" xfId="0" applyFont="1" applyFill="1" applyBorder="1" applyAlignment="1">
      <alignment horizontal="center" vertical="center"/>
    </xf>
    <xf numFmtId="0" fontId="4" fillId="8" borderId="14" xfId="0" applyNumberFormat="1" applyFont="1" applyFill="1" applyBorder="1" applyAlignment="1">
      <alignment horizontal="center" vertical="top"/>
    </xf>
    <xf numFmtId="0" fontId="8" fillId="8" borderId="15" xfId="0" applyFont="1" applyFill="1" applyBorder="1" applyAlignment="1">
      <alignment horizontal="center" vertical="top"/>
    </xf>
    <xf numFmtId="0" fontId="8" fillId="8" borderId="17" xfId="0" applyFont="1" applyFill="1" applyBorder="1" applyAlignment="1">
      <alignment horizontal="center" vertical="top"/>
    </xf>
    <xf numFmtId="4" fontId="4" fillId="5" borderId="11" xfId="0" applyNumberFormat="1" applyFont="1" applyFill="1" applyBorder="1" applyAlignment="1">
      <alignment horizontal="left" indent="1"/>
    </xf>
    <xf numFmtId="2" fontId="4" fillId="5" borderId="11" xfId="0" applyNumberFormat="1" applyFont="1" applyFill="1" applyBorder="1" applyAlignment="1">
      <alignment horizontal="left" indent="1"/>
    </xf>
    <xf numFmtId="0" fontId="2" fillId="0" borderId="0" xfId="0" applyFont="1" applyAlignment="1">
      <alignment horizontal="right"/>
    </xf>
    <xf numFmtId="9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164" fontId="2" fillId="0" borderId="0" xfId="3" applyFont="1"/>
    <xf numFmtId="164" fontId="0" fillId="0" borderId="0" xfId="3" applyFont="1"/>
    <xf numFmtId="0" fontId="20" fillId="5" borderId="5" xfId="0" applyFont="1" applyFill="1" applyBorder="1"/>
    <xf numFmtId="10" fontId="4" fillId="7" borderId="0" xfId="2" applyNumberFormat="1" applyFont="1" applyFill="1" applyBorder="1" applyAlignment="1">
      <alignment horizontal="center" vertical="top"/>
    </xf>
    <xf numFmtId="10" fontId="4" fillId="8" borderId="12" xfId="2" applyNumberFormat="1" applyFont="1" applyFill="1" applyBorder="1" applyAlignment="1">
      <alignment horizontal="center" vertical="top"/>
    </xf>
    <xf numFmtId="10" fontId="4" fillId="8" borderId="13" xfId="2" applyNumberFormat="1" applyFont="1" applyFill="1" applyBorder="1" applyAlignment="1">
      <alignment horizontal="center" vertical="top"/>
    </xf>
    <xf numFmtId="10" fontId="4" fillId="8" borderId="14" xfId="2" applyNumberFormat="1" applyFont="1" applyFill="1" applyBorder="1" applyAlignment="1">
      <alignment horizontal="center" vertical="top"/>
    </xf>
    <xf numFmtId="44" fontId="0" fillId="0" borderId="0" xfId="4" applyFont="1" applyAlignment="1">
      <alignment horizontal="right"/>
    </xf>
    <xf numFmtId="10" fontId="0" fillId="0" borderId="0" xfId="4" applyNumberFormat="1" applyFont="1" applyAlignment="1">
      <alignment horizontal="right"/>
    </xf>
    <xf numFmtId="9" fontId="4" fillId="8" borderId="13" xfId="2" applyFont="1" applyFill="1" applyBorder="1" applyAlignment="1">
      <alignment horizontal="center" vertical="top"/>
    </xf>
    <xf numFmtId="49" fontId="0" fillId="0" borderId="0" xfId="0" applyNumberFormat="1" applyAlignment="1">
      <alignment horizontal="right"/>
    </xf>
    <xf numFmtId="9" fontId="4" fillId="8" borderId="13" xfId="2" applyNumberFormat="1" applyFont="1" applyFill="1" applyBorder="1" applyAlignment="1">
      <alignment horizontal="center" vertical="top"/>
    </xf>
    <xf numFmtId="49" fontId="4" fillId="8" borderId="13" xfId="2" applyNumberFormat="1" applyFont="1" applyFill="1" applyBorder="1" applyAlignment="1">
      <alignment horizontal="center" vertical="top"/>
    </xf>
    <xf numFmtId="0" fontId="8" fillId="5" borderId="0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left" vertical="top" indent="1"/>
    </xf>
    <xf numFmtId="0" fontId="8" fillId="8" borderId="15" xfId="0" applyFont="1" applyFill="1" applyBorder="1" applyAlignment="1">
      <alignment horizontal="center" vertical="top"/>
    </xf>
    <xf numFmtId="0" fontId="8" fillId="8" borderId="17" xfId="0" applyFont="1" applyFill="1" applyBorder="1" applyAlignment="1">
      <alignment horizontal="center" vertical="top"/>
    </xf>
    <xf numFmtId="2" fontId="4" fillId="5" borderId="11" xfId="0" applyNumberFormat="1" applyFont="1" applyFill="1" applyBorder="1" applyAlignment="1">
      <alignment horizontal="left" indent="1"/>
    </xf>
    <xf numFmtId="0" fontId="4" fillId="5" borderId="0" xfId="0" applyFont="1" applyFill="1" applyBorder="1" applyAlignment="1">
      <alignment horizontal="center"/>
    </xf>
    <xf numFmtId="4" fontId="4" fillId="5" borderId="11" xfId="0" applyNumberFormat="1" applyFont="1" applyFill="1" applyBorder="1" applyAlignment="1">
      <alignment horizontal="left" indent="1"/>
    </xf>
    <xf numFmtId="0" fontId="8" fillId="8" borderId="16" xfId="0" applyFont="1" applyFill="1" applyBorder="1" applyAlignment="1">
      <alignment horizontal="center" vertical="center"/>
    </xf>
    <xf numFmtId="0" fontId="4" fillId="8" borderId="14" xfId="0" applyNumberFormat="1" applyFont="1" applyFill="1" applyBorder="1" applyAlignment="1">
      <alignment horizontal="center" vertical="top"/>
    </xf>
    <xf numFmtId="2" fontId="4" fillId="8" borderId="12" xfId="4" applyNumberFormat="1" applyFont="1" applyFill="1" applyBorder="1" applyAlignment="1">
      <alignment horizontal="center" vertical="top"/>
    </xf>
    <xf numFmtId="2" fontId="4" fillId="8" borderId="13" xfId="2" applyNumberFormat="1" applyFont="1" applyFill="1" applyBorder="1" applyAlignment="1">
      <alignment horizontal="center" vertical="top"/>
    </xf>
    <xf numFmtId="2" fontId="4" fillId="8" borderId="12" xfId="0" applyNumberFormat="1" applyFont="1" applyFill="1" applyBorder="1" applyAlignment="1">
      <alignment horizontal="center" vertical="top"/>
    </xf>
    <xf numFmtId="9" fontId="4" fillId="8" borderId="14" xfId="2" applyNumberFormat="1" applyFont="1" applyFill="1" applyBorder="1" applyAlignment="1">
      <alignment horizontal="center" vertical="top"/>
    </xf>
    <xf numFmtId="0" fontId="21" fillId="0" borderId="0" xfId="0" applyFont="1" applyAlignment="1">
      <alignment horizontal="center"/>
    </xf>
    <xf numFmtId="0" fontId="12" fillId="3" borderId="0" xfId="0" applyFont="1" applyFill="1" applyBorder="1" applyAlignment="1">
      <alignment horizontal="right" vertical="center" textRotation="90"/>
    </xf>
    <xf numFmtId="0" fontId="11" fillId="3" borderId="0" xfId="0" applyFont="1" applyFill="1" applyBorder="1" applyAlignment="1">
      <alignment vertical="distributed" textRotation="90"/>
    </xf>
    <xf numFmtId="0" fontId="6" fillId="3" borderId="0" xfId="0" applyFont="1" applyFill="1" applyBorder="1" applyAlignment="1">
      <alignment vertical="center" textRotation="90"/>
    </xf>
    <xf numFmtId="49" fontId="4" fillId="3" borderId="0" xfId="0" applyNumberFormat="1" applyFont="1" applyFill="1" applyBorder="1" applyAlignment="1">
      <alignment horizontal="center"/>
    </xf>
    <xf numFmtId="0" fontId="15" fillId="4" borderId="0" xfId="0" applyFont="1" applyFill="1" applyBorder="1" applyAlignment="1">
      <alignment horizontal="center" vertical="center"/>
    </xf>
    <xf numFmtId="4" fontId="4" fillId="7" borderId="0" xfId="0" applyNumberFormat="1" applyFont="1" applyFill="1" applyBorder="1" applyAlignment="1">
      <alignment horizontal="right" vertical="top" indent="1"/>
    </xf>
    <xf numFmtId="4" fontId="4" fillId="5" borderId="0" xfId="0" applyNumberFormat="1" applyFont="1" applyFill="1" applyBorder="1" applyAlignment="1">
      <alignment horizontal="center"/>
    </xf>
    <xf numFmtId="4" fontId="4" fillId="7" borderId="0" xfId="0" applyNumberFormat="1" applyFont="1" applyFill="1" applyBorder="1" applyAlignment="1">
      <alignment horizontal="right" vertical="top"/>
    </xf>
    <xf numFmtId="0" fontId="4" fillId="0" borderId="0" xfId="0" applyFont="1" applyBorder="1" applyAlignment="1">
      <alignment horizontal="center"/>
    </xf>
    <xf numFmtId="0" fontId="4" fillId="3" borderId="0" xfId="0" applyFont="1" applyFill="1" applyBorder="1" applyAlignment="1">
      <alignment horizontal="left" vertical="center" indent="1"/>
    </xf>
    <xf numFmtId="0" fontId="17" fillId="3" borderId="0" xfId="0" applyFont="1" applyFill="1" applyBorder="1" applyAlignment="1">
      <alignment horizontal="center" vertical="center" textRotation="90"/>
    </xf>
    <xf numFmtId="0" fontId="4" fillId="4" borderId="0" xfId="0" applyFont="1" applyFill="1" applyBorder="1" applyAlignment="1">
      <alignment horizontal="left"/>
    </xf>
    <xf numFmtId="0" fontId="4" fillId="7" borderId="0" xfId="0" applyNumberFormat="1" applyFont="1" applyFill="1" applyBorder="1" applyAlignment="1">
      <alignment horizontal="left" vertical="top"/>
    </xf>
    <xf numFmtId="0" fontId="8" fillId="5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/>
    </xf>
    <xf numFmtId="0" fontId="0" fillId="3" borderId="0" xfId="0" applyFill="1" applyBorder="1"/>
    <xf numFmtId="0" fontId="6" fillId="7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left" vertical="top" indent="1"/>
    </xf>
    <xf numFmtId="0" fontId="16" fillId="7" borderId="0" xfId="0" applyFont="1" applyFill="1" applyBorder="1" applyAlignment="1">
      <alignment horizontal="center" vertical="top"/>
    </xf>
    <xf numFmtId="0" fontId="16" fillId="7" borderId="0" xfId="0" applyNumberFormat="1" applyFont="1" applyFill="1" applyBorder="1" applyAlignment="1">
      <alignment horizontal="center" vertical="top"/>
    </xf>
    <xf numFmtId="2" fontId="4" fillId="7" borderId="0" xfId="0" applyNumberFormat="1" applyFont="1" applyFill="1" applyBorder="1" applyAlignment="1">
      <alignment horizontal="center"/>
    </xf>
    <xf numFmtId="4" fontId="4" fillId="7" borderId="0" xfId="0" applyNumberFormat="1" applyFont="1" applyFill="1" applyBorder="1" applyAlignment="1">
      <alignment horizontal="center"/>
    </xf>
    <xf numFmtId="49" fontId="4" fillId="5" borderId="0" xfId="0" applyNumberFormat="1" applyFont="1" applyFill="1" applyBorder="1" applyAlignment="1">
      <alignment horizontal="left"/>
    </xf>
    <xf numFmtId="0" fontId="4" fillId="3" borderId="0" xfId="0" applyFont="1" applyFill="1" applyBorder="1" applyAlignment="1">
      <alignment horizontal="center"/>
    </xf>
    <xf numFmtId="0" fontId="16" fillId="7" borderId="0" xfId="0" applyFont="1" applyFill="1" applyBorder="1" applyAlignment="1">
      <alignment horizontal="left" vertical="center"/>
    </xf>
    <xf numFmtId="4" fontId="4" fillId="3" borderId="0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top"/>
    </xf>
    <xf numFmtId="2" fontId="4" fillId="3" borderId="0" xfId="0" applyNumberFormat="1" applyFont="1" applyFill="1" applyBorder="1" applyAlignment="1">
      <alignment horizontal="center"/>
    </xf>
    <xf numFmtId="2" fontId="4" fillId="5" borderId="0" xfId="0" applyNumberFormat="1" applyFont="1" applyFill="1" applyBorder="1" applyAlignment="1">
      <alignment horizontal="center"/>
    </xf>
    <xf numFmtId="4" fontId="4" fillId="3" borderId="0" xfId="0" applyNumberFormat="1" applyFont="1" applyFill="1" applyBorder="1" applyAlignment="1">
      <alignment horizontal="left" indent="1"/>
    </xf>
    <xf numFmtId="165" fontId="4" fillId="3" borderId="0" xfId="0" applyNumberFormat="1" applyFont="1" applyFill="1" applyBorder="1" applyAlignment="1">
      <alignment horizontal="center"/>
    </xf>
    <xf numFmtId="49" fontId="4" fillId="4" borderId="0" xfId="0" applyNumberFormat="1" applyFont="1" applyFill="1" applyBorder="1" applyAlignment="1">
      <alignment horizontal="left"/>
    </xf>
    <xf numFmtId="49" fontId="4" fillId="3" borderId="0" xfId="0" applyNumberFormat="1" applyFont="1" applyFill="1" applyBorder="1" applyAlignment="1">
      <alignment horizontal="left"/>
    </xf>
    <xf numFmtId="49" fontId="0" fillId="3" borderId="0" xfId="0" applyNumberFormat="1" applyFill="1" applyBorder="1"/>
    <xf numFmtId="0" fontId="4" fillId="7" borderId="0" xfId="0" applyNumberFormat="1" applyFont="1" applyFill="1" applyBorder="1" applyAlignment="1">
      <alignment horizontal="right" vertical="top" indent="1"/>
    </xf>
    <xf numFmtId="0" fontId="4" fillId="7" borderId="0" xfId="0" applyNumberFormat="1" applyFont="1" applyFill="1" applyBorder="1" applyAlignment="1">
      <alignment horizontal="right" vertical="top"/>
    </xf>
    <xf numFmtId="49" fontId="4" fillId="3" borderId="0" xfId="0" applyNumberFormat="1" applyFont="1" applyFill="1" applyBorder="1" applyAlignment="1">
      <alignment horizontal="left" vertical="center" indent="1"/>
    </xf>
    <xf numFmtId="2" fontId="4" fillId="3" borderId="0" xfId="0" applyNumberFormat="1" applyFont="1" applyFill="1" applyBorder="1" applyAlignment="1">
      <alignment horizontal="left" indent="1"/>
    </xf>
    <xf numFmtId="49" fontId="10" fillId="5" borderId="0" xfId="0" applyNumberFormat="1" applyFont="1" applyFill="1" applyBorder="1" applyAlignment="1">
      <alignment horizontal="center" vertical="center"/>
    </xf>
    <xf numFmtId="4" fontId="4" fillId="5" borderId="1" xfId="0" applyNumberFormat="1" applyFont="1" applyFill="1" applyBorder="1" applyAlignment="1">
      <alignment horizontal="center" vertical="center"/>
    </xf>
    <xf numFmtId="4" fontId="4" fillId="5" borderId="15" xfId="0" applyNumberFormat="1" applyFont="1" applyFill="1" applyBorder="1" applyAlignment="1">
      <alignment horizontal="center" vertical="center"/>
    </xf>
    <xf numFmtId="4" fontId="4" fillId="5" borderId="17" xfId="0" applyNumberFormat="1" applyFont="1" applyFill="1" applyBorder="1" applyAlignment="1">
      <alignment horizontal="center" vertical="center"/>
    </xf>
    <xf numFmtId="4" fontId="4" fillId="5" borderId="10" xfId="0" applyNumberFormat="1" applyFont="1" applyFill="1" applyBorder="1" applyAlignment="1">
      <alignment horizontal="center" vertical="center"/>
    </xf>
    <xf numFmtId="4" fontId="4" fillId="5" borderId="11" xfId="0" applyNumberFormat="1" applyFont="1" applyFill="1" applyBorder="1" applyAlignment="1">
      <alignment horizontal="center" vertical="center"/>
    </xf>
    <xf numFmtId="4" fontId="4" fillId="5" borderId="19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left" vertical="top" indent="1"/>
    </xf>
    <xf numFmtId="0" fontId="8" fillId="8" borderId="15" xfId="0" applyFont="1" applyFill="1" applyBorder="1" applyAlignment="1">
      <alignment horizontal="left" vertical="top" indent="1"/>
    </xf>
    <xf numFmtId="0" fontId="8" fillId="8" borderId="15" xfId="0" applyFont="1" applyFill="1" applyBorder="1" applyAlignment="1">
      <alignment horizontal="center" vertical="top"/>
    </xf>
    <xf numFmtId="0" fontId="8" fillId="8" borderId="17" xfId="0" applyFont="1" applyFill="1" applyBorder="1" applyAlignment="1">
      <alignment horizontal="center" vertical="top"/>
    </xf>
    <xf numFmtId="2" fontId="4" fillId="5" borderId="10" xfId="0" applyNumberFormat="1" applyFont="1" applyFill="1" applyBorder="1" applyAlignment="1">
      <alignment horizontal="left" indent="1"/>
    </xf>
    <xf numFmtId="2" fontId="4" fillId="5" borderId="11" xfId="0" applyNumberFormat="1" applyFont="1" applyFill="1" applyBorder="1" applyAlignment="1">
      <alignment horizontal="left" indent="1"/>
    </xf>
    <xf numFmtId="2" fontId="4" fillId="5" borderId="11" xfId="0" applyNumberFormat="1" applyFont="1" applyFill="1" applyBorder="1" applyAlignment="1">
      <alignment horizontal="center"/>
    </xf>
    <xf numFmtId="165" fontId="4" fillId="5" borderId="11" xfId="0" applyNumberFormat="1" applyFont="1" applyFill="1" applyBorder="1" applyAlignment="1">
      <alignment horizontal="center"/>
    </xf>
    <xf numFmtId="165" fontId="4" fillId="5" borderId="19" xfId="0" applyNumberFormat="1" applyFont="1" applyFill="1" applyBorder="1" applyAlignment="1">
      <alignment horizontal="center"/>
    </xf>
    <xf numFmtId="0" fontId="14" fillId="5" borderId="0" xfId="0" applyFont="1" applyFill="1" applyBorder="1" applyAlignment="1">
      <alignment horizontal="right" vertical="center" textRotation="90"/>
    </xf>
    <xf numFmtId="0" fontId="8" fillId="5" borderId="18" xfId="0" applyFont="1" applyFill="1" applyBorder="1" applyAlignment="1">
      <alignment vertical="center" textRotation="90"/>
    </xf>
    <xf numFmtId="0" fontId="4" fillId="8" borderId="13" xfId="0" applyNumberFormat="1" applyFont="1" applyFill="1" applyBorder="1" applyAlignment="1">
      <alignment horizontal="left" vertical="top"/>
    </xf>
    <xf numFmtId="4" fontId="4" fillId="8" borderId="13" xfId="0" applyNumberFormat="1" applyFont="1" applyFill="1" applyBorder="1" applyAlignment="1">
      <alignment horizontal="right" vertical="top" indent="1"/>
    </xf>
    <xf numFmtId="0" fontId="4" fillId="8" borderId="13" xfId="0" applyNumberFormat="1" applyFont="1" applyFill="1" applyBorder="1" applyAlignment="1">
      <alignment horizontal="right" vertical="top" indent="1"/>
    </xf>
    <xf numFmtId="4" fontId="4" fillId="8" borderId="13" xfId="0" applyNumberFormat="1" applyFont="1" applyFill="1" applyBorder="1" applyAlignment="1">
      <alignment horizontal="right" vertical="top"/>
    </xf>
    <xf numFmtId="0" fontId="4" fillId="8" borderId="13" xfId="0" applyNumberFormat="1" applyFont="1" applyFill="1" applyBorder="1" applyAlignment="1">
      <alignment horizontal="right" vertical="top"/>
    </xf>
    <xf numFmtId="0" fontId="4" fillId="8" borderId="14" xfId="0" applyNumberFormat="1" applyFont="1" applyFill="1" applyBorder="1" applyAlignment="1">
      <alignment horizontal="left" vertical="top"/>
    </xf>
    <xf numFmtId="4" fontId="4" fillId="8" borderId="14" xfId="0" applyNumberFormat="1" applyFont="1" applyFill="1" applyBorder="1" applyAlignment="1">
      <alignment horizontal="right" vertical="top" indent="1"/>
    </xf>
    <xf numFmtId="0" fontId="4" fillId="8" borderId="14" xfId="0" applyNumberFormat="1" applyFont="1" applyFill="1" applyBorder="1" applyAlignment="1">
      <alignment horizontal="right" vertical="top" indent="1"/>
    </xf>
    <xf numFmtId="4" fontId="4" fillId="8" borderId="14" xfId="0" applyNumberFormat="1" applyFont="1" applyFill="1" applyBorder="1" applyAlignment="1">
      <alignment horizontal="right" vertical="top"/>
    </xf>
    <xf numFmtId="0" fontId="4" fillId="8" borderId="14" xfId="0" applyNumberFormat="1" applyFont="1" applyFill="1" applyBorder="1" applyAlignment="1">
      <alignment horizontal="right" vertical="top"/>
    </xf>
    <xf numFmtId="0" fontId="4" fillId="5" borderId="1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4" fillId="5" borderId="2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1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19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 vertical="top"/>
    </xf>
    <xf numFmtId="0" fontId="9" fillId="8" borderId="15" xfId="0" applyFont="1" applyFill="1" applyBorder="1" applyAlignment="1">
      <alignment horizontal="center" vertical="top"/>
    </xf>
    <xf numFmtId="0" fontId="9" fillId="8" borderId="17" xfId="0" applyFont="1" applyFill="1" applyBorder="1" applyAlignment="1">
      <alignment horizontal="center" vertical="top"/>
    </xf>
    <xf numFmtId="0" fontId="9" fillId="8" borderId="1" xfId="0" applyNumberFormat="1" applyFont="1" applyFill="1" applyBorder="1" applyAlignment="1">
      <alignment horizontal="center" vertical="top"/>
    </xf>
    <xf numFmtId="0" fontId="9" fillId="8" borderId="15" xfId="0" applyNumberFormat="1" applyFont="1" applyFill="1" applyBorder="1" applyAlignment="1">
      <alignment horizontal="center" vertical="top"/>
    </xf>
    <xf numFmtId="0" fontId="9" fillId="8" borderId="17" xfId="0" applyNumberFormat="1" applyFont="1" applyFill="1" applyBorder="1" applyAlignment="1">
      <alignment horizontal="center" vertical="top"/>
    </xf>
    <xf numFmtId="2" fontId="4" fillId="8" borderId="10" xfId="0" applyNumberFormat="1" applyFont="1" applyFill="1" applyBorder="1" applyAlignment="1">
      <alignment horizontal="center"/>
    </xf>
    <xf numFmtId="2" fontId="4" fillId="8" borderId="11" xfId="0" applyNumberFormat="1" applyFont="1" applyFill="1" applyBorder="1" applyAlignment="1">
      <alignment horizontal="center"/>
    </xf>
    <xf numFmtId="2" fontId="4" fillId="8" borderId="19" xfId="0" applyNumberFormat="1" applyFont="1" applyFill="1" applyBorder="1" applyAlignment="1">
      <alignment horizontal="center"/>
    </xf>
    <xf numFmtId="4" fontId="4" fillId="8" borderId="10" xfId="0" applyNumberFormat="1" applyFont="1" applyFill="1" applyBorder="1" applyAlignment="1">
      <alignment horizontal="center"/>
    </xf>
    <xf numFmtId="4" fontId="4" fillId="8" borderId="11" xfId="0" applyNumberFormat="1" applyFont="1" applyFill="1" applyBorder="1" applyAlignment="1">
      <alignment horizontal="center"/>
    </xf>
    <xf numFmtId="4" fontId="4" fillId="8" borderId="19" xfId="0" applyNumberFormat="1" applyFont="1" applyFill="1" applyBorder="1" applyAlignment="1">
      <alignment horizontal="center"/>
    </xf>
    <xf numFmtId="0" fontId="9" fillId="8" borderId="1" xfId="0" applyFont="1" applyFill="1" applyBorder="1" applyAlignment="1">
      <alignment horizontal="left" vertical="center"/>
    </xf>
    <xf numFmtId="0" fontId="9" fillId="8" borderId="15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11" xfId="0" applyFont="1" applyFill="1" applyBorder="1" applyAlignment="1">
      <alignment horizontal="left" vertical="center"/>
    </xf>
    <xf numFmtId="49" fontId="4" fillId="8" borderId="1" xfId="0" applyNumberFormat="1" applyFont="1" applyFill="1" applyBorder="1" applyAlignment="1">
      <alignment horizontal="left"/>
    </xf>
    <xf numFmtId="49" fontId="4" fillId="8" borderId="15" xfId="0" applyNumberFormat="1" applyFont="1" applyFill="1" applyBorder="1" applyAlignment="1">
      <alignment horizontal="left"/>
    </xf>
    <xf numFmtId="49" fontId="4" fillId="8" borderId="20" xfId="0" applyNumberFormat="1" applyFont="1" applyFill="1" applyBorder="1" applyAlignment="1">
      <alignment horizontal="left"/>
    </xf>
    <xf numFmtId="49" fontId="4" fillId="8" borderId="0" xfId="0" applyNumberFormat="1" applyFont="1" applyFill="1" applyBorder="1" applyAlignment="1">
      <alignment horizontal="left"/>
    </xf>
    <xf numFmtId="0" fontId="18" fillId="8" borderId="15" xfId="0" applyFont="1" applyFill="1" applyBorder="1" applyAlignment="1">
      <alignment horizontal="center" vertical="center"/>
    </xf>
    <xf numFmtId="0" fontId="18" fillId="8" borderId="17" xfId="0" applyFont="1" applyFill="1" applyBorder="1" applyAlignment="1">
      <alignment horizontal="center" vertical="center"/>
    </xf>
    <xf numFmtId="0" fontId="18" fillId="8" borderId="0" xfId="0" applyFont="1" applyFill="1" applyBorder="1" applyAlignment="1">
      <alignment horizontal="center" vertical="center"/>
    </xf>
    <xf numFmtId="0" fontId="18" fillId="8" borderId="18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 textRotation="90"/>
    </xf>
    <xf numFmtId="0" fontId="19" fillId="5" borderId="20" xfId="0" applyFont="1" applyFill="1" applyBorder="1" applyAlignment="1">
      <alignment horizontal="center" vertical="center" textRotation="90"/>
    </xf>
    <xf numFmtId="0" fontId="19" fillId="5" borderId="10" xfId="0" applyFont="1" applyFill="1" applyBorder="1" applyAlignment="1">
      <alignment horizontal="center" vertical="center" textRotation="90"/>
    </xf>
    <xf numFmtId="0" fontId="13" fillId="5" borderId="0" xfId="0" applyFont="1" applyFill="1" applyBorder="1" applyAlignment="1">
      <alignment vertical="distributed" textRotation="90"/>
    </xf>
    <xf numFmtId="49" fontId="4" fillId="5" borderId="10" xfId="0" applyNumberFormat="1" applyFont="1" applyFill="1" applyBorder="1" applyAlignment="1">
      <alignment horizontal="left"/>
    </xf>
    <xf numFmtId="49" fontId="0" fillId="5" borderId="11" xfId="0" applyNumberFormat="1" applyFill="1" applyBorder="1"/>
    <xf numFmtId="49" fontId="4" fillId="5" borderId="11" xfId="0" applyNumberFormat="1" applyFont="1" applyFill="1" applyBorder="1" applyAlignment="1">
      <alignment horizontal="center"/>
    </xf>
    <xf numFmtId="49" fontId="4" fillId="5" borderId="19" xfId="0" applyNumberFormat="1" applyFont="1" applyFill="1" applyBorder="1" applyAlignment="1">
      <alignment horizontal="center"/>
    </xf>
    <xf numFmtId="0" fontId="4" fillId="5" borderId="11" xfId="0" applyFont="1" applyFill="1" applyBorder="1" applyAlignment="1">
      <alignment horizontal="left" vertical="center" indent="1"/>
    </xf>
    <xf numFmtId="49" fontId="4" fillId="5" borderId="11" xfId="0" applyNumberFormat="1" applyFont="1" applyFill="1" applyBorder="1" applyAlignment="1">
      <alignment horizontal="left" vertical="center" indent="1"/>
    </xf>
    <xf numFmtId="49" fontId="4" fillId="5" borderId="19" xfId="0" applyNumberFormat="1" applyFont="1" applyFill="1" applyBorder="1" applyAlignment="1">
      <alignment horizontal="left" vertical="center" indent="1"/>
    </xf>
    <xf numFmtId="0" fontId="8" fillId="8" borderId="16" xfId="0" applyFont="1" applyFill="1" applyBorder="1" applyAlignment="1">
      <alignment horizontal="center" vertical="center"/>
    </xf>
    <xf numFmtId="0" fontId="4" fillId="8" borderId="12" xfId="0" applyNumberFormat="1" applyFont="1" applyFill="1" applyBorder="1" applyAlignment="1">
      <alignment horizontal="left" vertical="top"/>
    </xf>
    <xf numFmtId="4" fontId="4" fillId="8" borderId="12" xfId="0" applyNumberFormat="1" applyFont="1" applyFill="1" applyBorder="1" applyAlignment="1">
      <alignment horizontal="right" vertical="top" indent="1"/>
    </xf>
    <xf numFmtId="0" fontId="4" fillId="8" borderId="12" xfId="0" applyNumberFormat="1" applyFont="1" applyFill="1" applyBorder="1" applyAlignment="1">
      <alignment horizontal="right" vertical="top" indent="1"/>
    </xf>
    <xf numFmtId="4" fontId="4" fillId="8" borderId="12" xfId="0" applyNumberFormat="1" applyFont="1" applyFill="1" applyBorder="1" applyAlignment="1">
      <alignment horizontal="right" vertical="top"/>
    </xf>
    <xf numFmtId="0" fontId="4" fillId="8" borderId="12" xfId="0" applyNumberFormat="1" applyFont="1" applyFill="1" applyBorder="1" applyAlignment="1">
      <alignment horizontal="right" vertical="top"/>
    </xf>
    <xf numFmtId="4" fontId="4" fillId="5" borderId="10" xfId="0" applyNumberFormat="1" applyFont="1" applyFill="1" applyBorder="1" applyAlignment="1">
      <alignment horizontal="left" indent="1"/>
    </xf>
    <xf numFmtId="4" fontId="4" fillId="5" borderId="11" xfId="0" applyNumberFormat="1" applyFont="1" applyFill="1" applyBorder="1" applyAlignment="1">
      <alignment horizontal="left" indent="1"/>
    </xf>
    <xf numFmtId="4" fontId="4" fillId="8" borderId="13" xfId="0" applyNumberFormat="1" applyFont="1" applyFill="1" applyBorder="1" applyAlignment="1">
      <alignment horizontal="left" vertical="top"/>
    </xf>
    <xf numFmtId="0" fontId="4" fillId="8" borderId="14" xfId="0" applyNumberFormat="1" applyFont="1" applyFill="1" applyBorder="1" applyAlignment="1">
      <alignment horizontal="center" vertical="top"/>
    </xf>
    <xf numFmtId="4" fontId="4" fillId="8" borderId="14" xfId="0" applyNumberFormat="1" applyFont="1" applyFill="1" applyBorder="1" applyAlignment="1">
      <alignment horizontal="left" vertical="top"/>
    </xf>
    <xf numFmtId="0" fontId="9" fillId="8" borderId="17" xfId="0" applyFont="1" applyFill="1" applyBorder="1" applyAlignment="1">
      <alignment horizontal="left" vertical="center"/>
    </xf>
    <xf numFmtId="0" fontId="9" fillId="8" borderId="19" xfId="0" applyFont="1" applyFill="1" applyBorder="1" applyAlignment="1">
      <alignment horizontal="left" vertical="center"/>
    </xf>
    <xf numFmtId="0" fontId="4" fillId="8" borderId="20" xfId="0" applyNumberFormat="1" applyFont="1" applyFill="1" applyBorder="1" applyAlignment="1">
      <alignment horizontal="left" vertical="top"/>
    </xf>
    <xf numFmtId="0" fontId="4" fillId="8" borderId="0" xfId="0" applyNumberFormat="1" applyFont="1" applyFill="1" applyBorder="1" applyAlignment="1">
      <alignment horizontal="left" vertical="top"/>
    </xf>
    <xf numFmtId="0" fontId="4" fillId="8" borderId="18" xfId="0" applyNumberFormat="1" applyFont="1" applyFill="1" applyBorder="1" applyAlignment="1">
      <alignment horizontal="left" vertical="top"/>
    </xf>
    <xf numFmtId="4" fontId="4" fillId="8" borderId="20" xfId="0" applyNumberFormat="1" applyFont="1" applyFill="1" applyBorder="1" applyAlignment="1">
      <alignment horizontal="center" vertical="top"/>
    </xf>
    <xf numFmtId="4" fontId="4" fillId="8" borderId="0" xfId="0" applyNumberFormat="1" applyFont="1" applyFill="1" applyBorder="1" applyAlignment="1">
      <alignment horizontal="center" vertical="top"/>
    </xf>
    <xf numFmtId="4" fontId="4" fillId="8" borderId="18" xfId="0" applyNumberFormat="1" applyFont="1" applyFill="1" applyBorder="1" applyAlignment="1">
      <alignment horizontal="center" vertical="top"/>
    </xf>
    <xf numFmtId="0" fontId="4" fillId="8" borderId="1" xfId="0" applyFont="1" applyFill="1" applyBorder="1" applyAlignment="1">
      <alignment horizontal="left"/>
    </xf>
    <xf numFmtId="0" fontId="4" fillId="8" borderId="15" xfId="0" applyFont="1" applyFill="1" applyBorder="1" applyAlignment="1">
      <alignment horizontal="left"/>
    </xf>
    <xf numFmtId="0" fontId="4" fillId="8" borderId="2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5" borderId="10" xfId="0" applyFont="1" applyFill="1" applyBorder="1" applyAlignment="1">
      <alignment horizontal="left"/>
    </xf>
    <xf numFmtId="0" fontId="0" fillId="5" borderId="11" xfId="0" applyFill="1" applyBorder="1"/>
    <xf numFmtId="0" fontId="4" fillId="5" borderId="19" xfId="0" applyFont="1" applyFill="1" applyBorder="1" applyAlignment="1">
      <alignment horizontal="left" vertical="center" indent="1"/>
    </xf>
    <xf numFmtId="49" fontId="4" fillId="8" borderId="12" xfId="0" applyNumberFormat="1" applyFont="1" applyFill="1" applyBorder="1" applyAlignment="1">
      <alignment horizontal="left" vertical="top"/>
    </xf>
    <xf numFmtId="4" fontId="4" fillId="8" borderId="12" xfId="0" applyNumberFormat="1" applyFont="1" applyFill="1" applyBorder="1" applyAlignment="1">
      <alignment horizontal="center" vertical="top"/>
    </xf>
    <xf numFmtId="4" fontId="4" fillId="8" borderId="13" xfId="0" applyNumberFormat="1" applyFont="1" applyFill="1" applyBorder="1" applyAlignment="1">
      <alignment horizontal="center" vertical="top"/>
    </xf>
    <xf numFmtId="4" fontId="4" fillId="8" borderId="20" xfId="0" applyNumberFormat="1" applyFont="1" applyFill="1" applyBorder="1" applyAlignment="1">
      <alignment horizontal="right" vertical="top" indent="1"/>
    </xf>
    <xf numFmtId="4" fontId="4" fillId="8" borderId="0" xfId="0" applyNumberFormat="1" applyFont="1" applyFill="1" applyBorder="1" applyAlignment="1">
      <alignment horizontal="right" vertical="top" indent="1"/>
    </xf>
    <xf numFmtId="4" fontId="4" fillId="8" borderId="18" xfId="0" applyNumberFormat="1" applyFont="1" applyFill="1" applyBorder="1" applyAlignment="1">
      <alignment horizontal="right" vertical="top" indent="1"/>
    </xf>
    <xf numFmtId="49" fontId="4" fillId="8" borderId="1" xfId="0" applyNumberFormat="1" applyFont="1" applyFill="1" applyBorder="1" applyAlignment="1">
      <alignment horizontal="left" vertical="top"/>
    </xf>
    <xf numFmtId="168" fontId="4" fillId="8" borderId="13" xfId="2" applyNumberFormat="1" applyFont="1" applyFill="1" applyBorder="1" applyAlignment="1">
      <alignment horizontal="center" vertical="top"/>
    </xf>
  </cellXfs>
  <cellStyles count="5">
    <cellStyle name="Estilo 1" xfId="1" xr:uid="{00000000-0005-0000-0000-000000000000}"/>
    <cellStyle name="Moeda" xfId="4" builtinId="4"/>
    <cellStyle name="Normal" xfId="0" builtinId="0"/>
    <cellStyle name="Porcentagem" xfId="2" builtinId="5"/>
    <cellStyle name="Vírgula" xfId="3" builtinId="3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Base de Dados'!A1"/><Relationship Id="rId1" Type="http://schemas.openxmlformats.org/officeDocument/2006/relationships/hyperlink" Target="#Configura&#231;&#227;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7</xdr:row>
      <xdr:rowOff>104775</xdr:rowOff>
    </xdr:from>
    <xdr:to>
      <xdr:col>14</xdr:col>
      <xdr:colOff>247650</xdr:colOff>
      <xdr:row>23</xdr:row>
      <xdr:rowOff>133350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305175" y="1238250"/>
          <a:ext cx="5476875" cy="26193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238124</xdr:colOff>
      <xdr:row>15</xdr:row>
      <xdr:rowOff>123825</xdr:rowOff>
    </xdr:from>
    <xdr:to>
      <xdr:col>9</xdr:col>
      <xdr:colOff>533399</xdr:colOff>
      <xdr:row>19</xdr:row>
      <xdr:rowOff>133350</xdr:rowOff>
    </xdr:to>
    <xdr:sp macro="[0]!lsHoleriteColorid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5724" y="2552700"/>
          <a:ext cx="2124075" cy="657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Imprimir</a:t>
          </a:r>
          <a:r>
            <a:rPr lang="pt-BR" sz="1100" baseline="0"/>
            <a:t> Holerites Colorido</a:t>
          </a:r>
        </a:p>
      </xdr:txBody>
    </xdr:sp>
    <xdr:clientData/>
  </xdr:twoCellAnchor>
  <xdr:twoCellAnchor>
    <xdr:from>
      <xdr:col>10</xdr:col>
      <xdr:colOff>76200</xdr:colOff>
      <xdr:row>15</xdr:row>
      <xdr:rowOff>123825</xdr:rowOff>
    </xdr:from>
    <xdr:to>
      <xdr:col>13</xdr:col>
      <xdr:colOff>371475</xdr:colOff>
      <xdr:row>19</xdr:row>
      <xdr:rowOff>133350</xdr:rowOff>
    </xdr:to>
    <xdr:sp macro="[0]!lsHoleritePB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72200" y="2552700"/>
          <a:ext cx="2124075" cy="657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Imprimir</a:t>
          </a:r>
          <a:r>
            <a:rPr lang="pt-BR" sz="1100" baseline="0"/>
            <a:t> Holerites PB</a:t>
          </a:r>
        </a:p>
      </xdr:txBody>
    </xdr:sp>
    <xdr:clientData/>
  </xdr:twoCellAnchor>
  <xdr:twoCellAnchor>
    <xdr:from>
      <xdr:col>6</xdr:col>
      <xdr:colOff>238125</xdr:colOff>
      <xdr:row>10</xdr:row>
      <xdr:rowOff>133350</xdr:rowOff>
    </xdr:from>
    <xdr:to>
      <xdr:col>9</xdr:col>
      <xdr:colOff>533400</xdr:colOff>
      <xdr:row>14</xdr:row>
      <xdr:rowOff>142875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95725" y="1752600"/>
          <a:ext cx="2124075" cy="657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Configuração</a:t>
          </a:r>
          <a:endParaRPr lang="pt-BR" sz="1100" baseline="0"/>
        </a:p>
      </xdr:txBody>
    </xdr:sp>
    <xdr:clientData/>
  </xdr:twoCellAnchor>
  <xdr:twoCellAnchor>
    <xdr:from>
      <xdr:col>10</xdr:col>
      <xdr:colOff>66675</xdr:colOff>
      <xdr:row>10</xdr:row>
      <xdr:rowOff>142875</xdr:rowOff>
    </xdr:from>
    <xdr:to>
      <xdr:col>13</xdr:col>
      <xdr:colOff>361950</xdr:colOff>
      <xdr:row>14</xdr:row>
      <xdr:rowOff>152400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162675" y="1762125"/>
          <a:ext cx="2124075" cy="657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Base de dados</a:t>
          </a:r>
          <a:endParaRPr lang="pt-BR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33</xdr:row>
      <xdr:rowOff>53974</xdr:rowOff>
    </xdr:from>
    <xdr:to>
      <xdr:col>9</xdr:col>
      <xdr:colOff>273050</xdr:colOff>
      <xdr:row>34</xdr:row>
      <xdr:rowOff>101599</xdr:rowOff>
    </xdr:to>
    <xdr:sp macro="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03850" y="4264024"/>
          <a:ext cx="292100" cy="193675"/>
        </a:xfrm>
        <a:prstGeom prst="rightArrow">
          <a:avLst/>
        </a:prstGeom>
        <a:noFill/>
        <a:ln w="63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327025</xdr:colOff>
      <xdr:row>74</xdr:row>
      <xdr:rowOff>73024</xdr:rowOff>
    </xdr:from>
    <xdr:to>
      <xdr:col>9</xdr:col>
      <xdr:colOff>276225</xdr:colOff>
      <xdr:row>75</xdr:row>
      <xdr:rowOff>73024</xdr:rowOff>
    </xdr:to>
    <xdr:sp macro="" textlink="">
      <xdr:nvSpPr>
        <xdr:cNvPr id="8" name="Seta para a direit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394450" y="9893299"/>
          <a:ext cx="292100" cy="161925"/>
        </a:xfrm>
        <a:prstGeom prst="rightArrow">
          <a:avLst/>
        </a:prstGeom>
        <a:noFill/>
        <a:ln w="63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33</xdr:row>
      <xdr:rowOff>44449</xdr:rowOff>
    </xdr:from>
    <xdr:to>
      <xdr:col>9</xdr:col>
      <xdr:colOff>273050</xdr:colOff>
      <xdr:row>34</xdr:row>
      <xdr:rowOff>92074</xdr:rowOff>
    </xdr:to>
    <xdr:sp macro="" textlink="">
      <xdr:nvSpPr>
        <xdr:cNvPr id="2" name="Seta para a direi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391275" y="4206874"/>
          <a:ext cx="292100" cy="161925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74</xdr:row>
      <xdr:rowOff>76200</xdr:rowOff>
    </xdr:from>
    <xdr:to>
      <xdr:col>9</xdr:col>
      <xdr:colOff>263525</xdr:colOff>
      <xdr:row>75</xdr:row>
      <xdr:rowOff>76200</xdr:rowOff>
    </xdr:to>
    <xdr:sp macro="" textlink="">
      <xdr:nvSpPr>
        <xdr:cNvPr id="9" name="Seta para a direita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381750" y="9896475"/>
          <a:ext cx="292100" cy="161925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323850</xdr:colOff>
      <xdr:row>112</xdr:row>
      <xdr:rowOff>44449</xdr:rowOff>
    </xdr:from>
    <xdr:to>
      <xdr:col>9</xdr:col>
      <xdr:colOff>273050</xdr:colOff>
      <xdr:row>113</xdr:row>
      <xdr:rowOff>92074</xdr:rowOff>
    </xdr:to>
    <xdr:sp macro="" textlink="">
      <xdr:nvSpPr>
        <xdr:cNvPr id="4" name="Seta para a direita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388748" y="4291821"/>
          <a:ext cx="289379" cy="164258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153</xdr:row>
      <xdr:rowOff>76200</xdr:rowOff>
    </xdr:from>
    <xdr:to>
      <xdr:col>9</xdr:col>
      <xdr:colOff>263525</xdr:colOff>
      <xdr:row>154</xdr:row>
      <xdr:rowOff>76200</xdr:rowOff>
    </xdr:to>
    <xdr:sp macro="" textlink="">
      <xdr:nvSpPr>
        <xdr:cNvPr id="5" name="Seta para a direita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379223" y="10087169"/>
          <a:ext cx="289379" cy="165230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74</xdr:row>
      <xdr:rowOff>76200</xdr:rowOff>
    </xdr:from>
    <xdr:to>
      <xdr:col>9</xdr:col>
      <xdr:colOff>263525</xdr:colOff>
      <xdr:row>75</xdr:row>
      <xdr:rowOff>76200</xdr:rowOff>
    </xdr:to>
    <xdr:sp macro="" textlink="">
      <xdr:nvSpPr>
        <xdr:cNvPr id="11" name="Seta para a direita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442075" y="24724783"/>
          <a:ext cx="287867" cy="158750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323850</xdr:colOff>
      <xdr:row>191</xdr:row>
      <xdr:rowOff>44449</xdr:rowOff>
    </xdr:from>
    <xdr:to>
      <xdr:col>9</xdr:col>
      <xdr:colOff>273050</xdr:colOff>
      <xdr:row>192</xdr:row>
      <xdr:rowOff>92074</xdr:rowOff>
    </xdr:to>
    <xdr:sp macro="" textlink="">
      <xdr:nvSpPr>
        <xdr:cNvPr id="12" name="Seta para a direita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451600" y="18184282"/>
          <a:ext cx="287867" cy="206375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232</xdr:row>
      <xdr:rowOff>76200</xdr:rowOff>
    </xdr:from>
    <xdr:to>
      <xdr:col>9</xdr:col>
      <xdr:colOff>263525</xdr:colOff>
      <xdr:row>233</xdr:row>
      <xdr:rowOff>76200</xdr:rowOff>
    </xdr:to>
    <xdr:sp macro="" textlink="">
      <xdr:nvSpPr>
        <xdr:cNvPr id="13" name="Seta para a direi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442075" y="24724783"/>
          <a:ext cx="287867" cy="158750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323850</xdr:colOff>
      <xdr:row>271</xdr:row>
      <xdr:rowOff>44449</xdr:rowOff>
    </xdr:from>
    <xdr:to>
      <xdr:col>9</xdr:col>
      <xdr:colOff>273050</xdr:colOff>
      <xdr:row>272</xdr:row>
      <xdr:rowOff>92074</xdr:rowOff>
    </xdr:to>
    <xdr:sp macro="" textlink="">
      <xdr:nvSpPr>
        <xdr:cNvPr id="10" name="Seta para a direi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466940" y="30770601"/>
          <a:ext cx="291672" cy="208158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312</xdr:row>
      <xdr:rowOff>76200</xdr:rowOff>
    </xdr:from>
    <xdr:to>
      <xdr:col>9</xdr:col>
      <xdr:colOff>263525</xdr:colOff>
      <xdr:row>313</xdr:row>
      <xdr:rowOff>76200</xdr:rowOff>
    </xdr:to>
    <xdr:sp macro="" textlink="">
      <xdr:nvSpPr>
        <xdr:cNvPr id="14" name="Seta para a direita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457415" y="37384234"/>
          <a:ext cx="291672" cy="160533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323850</xdr:colOff>
      <xdr:row>112</xdr:row>
      <xdr:rowOff>44449</xdr:rowOff>
    </xdr:from>
    <xdr:to>
      <xdr:col>9</xdr:col>
      <xdr:colOff>273050</xdr:colOff>
      <xdr:row>113</xdr:row>
      <xdr:rowOff>92074</xdr:rowOff>
    </xdr:to>
    <xdr:sp macro="" textlink="">
      <xdr:nvSpPr>
        <xdr:cNvPr id="15" name="Seta para a direi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466940" y="4132707"/>
          <a:ext cx="291672" cy="165350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153</xdr:row>
      <xdr:rowOff>76200</xdr:rowOff>
    </xdr:from>
    <xdr:to>
      <xdr:col>9</xdr:col>
      <xdr:colOff>263525</xdr:colOff>
      <xdr:row>154</xdr:row>
      <xdr:rowOff>76200</xdr:rowOff>
    </xdr:to>
    <xdr:sp macro="" textlink="">
      <xdr:nvSpPr>
        <xdr:cNvPr id="16" name="Seta para a direita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6457415" y="9793840"/>
          <a:ext cx="291672" cy="160534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153</xdr:row>
      <xdr:rowOff>76200</xdr:rowOff>
    </xdr:from>
    <xdr:to>
      <xdr:col>9</xdr:col>
      <xdr:colOff>263525</xdr:colOff>
      <xdr:row>154</xdr:row>
      <xdr:rowOff>76200</xdr:rowOff>
    </xdr:to>
    <xdr:sp macro="" textlink="">
      <xdr:nvSpPr>
        <xdr:cNvPr id="17" name="Seta para a direita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6457415" y="9793840"/>
          <a:ext cx="291672" cy="160534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J15" totalsRowShown="0" headerRowDxfId="2" headerRowCellStyle="Vírgula">
  <autoFilter ref="A1:J15" xr:uid="{00000000-0009-0000-0100-000001000000}"/>
  <tableColumns count="10">
    <tableColumn id="1" xr3:uid="{00000000-0010-0000-0000-000001000000}" name="Sequência">
      <calculatedColumnFormula>IF(COUNTIF($C$1:C2,C2)&gt;0,COUNTIF($C$1:C2,C2),"")</calculatedColumnFormula>
    </tableColumn>
    <tableColumn id="2" xr3:uid="{00000000-0010-0000-0000-000002000000}" name="Chave">
      <calculatedColumnFormula>A2&amp;"-"&amp;C2</calculatedColumnFormula>
    </tableColumn>
    <tableColumn id="3" xr3:uid="{00000000-0010-0000-0000-000003000000}" name="Matrícula"/>
    <tableColumn id="4" xr3:uid="{00000000-0010-0000-0000-000004000000}" name="Nome">
      <calculatedColumnFormula>VLOOKUP(C2,Configuração!D:E,2,0)</calculatedColumnFormula>
    </tableColumn>
    <tableColumn id="5" xr3:uid="{00000000-0010-0000-0000-000005000000}" name="Cargo">
      <calculatedColumnFormula>VLOOKUP(C2,Configuração!D:F,3,0)</calculatedColumnFormula>
    </tableColumn>
    <tableColumn id="6" xr3:uid="{00000000-0010-0000-0000-000006000000}" name="Código"/>
    <tableColumn id="7" xr3:uid="{00000000-0010-0000-0000-000007000000}" name="Descrição"/>
    <tableColumn id="8" xr3:uid="{00000000-0010-0000-0000-000008000000}" name="Referência"/>
    <tableColumn id="9" xr3:uid="{00000000-0010-0000-0000-000009000000}" name="Vencimentos" dataDxfId="1" dataCellStyle="Vírgula"/>
    <tableColumn id="10" xr3:uid="{00000000-0010-0000-0000-00000A000000}" name="Descontos" dataDxfId="0" dataCellStyle="Vírgul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 2">
      <a:majorFont>
        <a:latin typeface="Calibri"/>
        <a:ea typeface=""/>
        <a:cs typeface=""/>
        <a:font script="Jpan" typeface="HGｺﾞｼｯｸM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F4:O4"/>
  <sheetViews>
    <sheetView showGridLines="0" showRowColHeaders="0" workbookViewId="0">
      <pane xSplit="19" ySplit="32" topLeftCell="T48" activePane="bottomRight" state="frozen"/>
      <selection pane="topRight" activeCell="T1" sqref="T1"/>
      <selection pane="bottomLeft" activeCell="A33" sqref="A33"/>
      <selection pane="bottomRight" activeCell="I28" sqref="I28"/>
    </sheetView>
  </sheetViews>
  <sheetFormatPr defaultRowHeight="12.75"/>
  <sheetData>
    <row r="4" spans="6:15" ht="26.25">
      <c r="F4" s="112" t="s">
        <v>42</v>
      </c>
      <c r="G4" s="112"/>
      <c r="H4" s="112"/>
      <c r="I4" s="112"/>
      <c r="J4" s="112"/>
      <c r="K4" s="112"/>
      <c r="L4" s="112"/>
      <c r="M4" s="112"/>
      <c r="N4" s="112"/>
      <c r="O4" s="112"/>
    </row>
  </sheetData>
  <mergeCells count="1">
    <mergeCell ref="F4:O4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4294967294" verticalDpi="4294967294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W95"/>
  <sheetViews>
    <sheetView zoomScaleNormal="100" workbookViewId="0">
      <selection activeCell="W31" sqref="W31"/>
    </sheetView>
  </sheetViews>
  <sheetFormatPr defaultRowHeight="12.75"/>
  <cols>
    <col min="1" max="1" width="30.140625" style="30" customWidth="1"/>
    <col min="2" max="2" width="1.85546875" style="1" customWidth="1"/>
    <col min="3" max="3" width="5.7109375" style="1" customWidth="1"/>
    <col min="4" max="4" width="11.85546875" style="1" customWidth="1"/>
    <col min="5" max="5" width="13" style="1" customWidth="1"/>
    <col min="6" max="6" width="13.5703125" style="1" customWidth="1"/>
    <col min="7" max="7" width="9.7109375" style="1" customWidth="1"/>
    <col min="8" max="10" width="5.140625" style="1" customWidth="1"/>
    <col min="11" max="13" width="4.85546875" style="1" customWidth="1"/>
    <col min="14" max="14" width="1.42578125" style="1" customWidth="1"/>
    <col min="15" max="15" width="3.42578125" style="1" customWidth="1"/>
    <col min="16" max="16" width="7.85546875" style="1" customWidth="1"/>
    <col min="17" max="17" width="2.140625" style="1" customWidth="1"/>
    <col min="18" max="18" width="1.85546875" style="1" customWidth="1"/>
    <col min="19" max="23" width="9.140625" style="30"/>
    <col min="24" max="16384" width="9.140625" style="1"/>
  </cols>
  <sheetData>
    <row r="1" spans="1:23" s="30" customFormat="1"/>
    <row r="2" spans="1:23" ht="9" customHeight="1">
      <c r="B2" s="18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</row>
    <row r="3" spans="1:23" ht="18" customHeight="1">
      <c r="B3" s="21"/>
      <c r="C3" s="124" t="s">
        <v>7</v>
      </c>
      <c r="D3" s="124"/>
      <c r="E3" s="124"/>
      <c r="F3" s="124"/>
      <c r="G3" s="117" t="s">
        <v>5</v>
      </c>
      <c r="H3" s="117"/>
      <c r="I3" s="117"/>
      <c r="J3" s="117"/>
      <c r="K3" s="117"/>
      <c r="L3" s="117"/>
      <c r="M3" s="117"/>
      <c r="N3" s="15"/>
      <c r="O3" s="123" t="s">
        <v>29</v>
      </c>
      <c r="P3" s="4"/>
      <c r="Q3" s="4"/>
      <c r="R3" s="25"/>
    </row>
    <row r="4" spans="1:23" ht="5.25" customHeight="1">
      <c r="B4" s="21"/>
      <c r="C4" s="124"/>
      <c r="D4" s="124"/>
      <c r="E4" s="124"/>
      <c r="F4" s="124"/>
      <c r="G4" s="117"/>
      <c r="H4" s="117"/>
      <c r="I4" s="117"/>
      <c r="J4" s="117"/>
      <c r="K4" s="117"/>
      <c r="L4" s="117"/>
      <c r="M4" s="117"/>
      <c r="N4" s="15"/>
      <c r="O4" s="123"/>
      <c r="P4" s="114" t="s">
        <v>32</v>
      </c>
      <c r="Q4" s="5"/>
      <c r="R4" s="25"/>
    </row>
    <row r="5" spans="1:23" ht="10.5" customHeight="1">
      <c r="B5" s="21"/>
      <c r="C5" s="127" t="s">
        <v>8</v>
      </c>
      <c r="D5" s="128"/>
      <c r="E5" s="128"/>
      <c r="F5" s="128"/>
      <c r="G5" s="116" t="s">
        <v>6</v>
      </c>
      <c r="H5" s="116"/>
      <c r="I5" s="116"/>
      <c r="J5" s="116"/>
      <c r="K5" s="116"/>
      <c r="L5" s="116"/>
      <c r="M5" s="116"/>
      <c r="N5" s="15"/>
      <c r="O5" s="123"/>
      <c r="P5" s="114"/>
      <c r="Q5" s="115" t="s">
        <v>31</v>
      </c>
      <c r="R5" s="25"/>
    </row>
    <row r="6" spans="1:23" ht="2.1" customHeight="1">
      <c r="B6" s="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5"/>
      <c r="O6" s="123"/>
      <c r="P6" s="114"/>
      <c r="Q6" s="115"/>
      <c r="R6" s="25"/>
    </row>
    <row r="7" spans="1:23" s="3" customFormat="1" ht="11.25" customHeight="1">
      <c r="A7" s="31"/>
      <c r="B7" s="22"/>
      <c r="C7" s="6" t="s">
        <v>9</v>
      </c>
      <c r="D7" s="130" t="s">
        <v>10</v>
      </c>
      <c r="E7" s="130"/>
      <c r="F7" s="130"/>
      <c r="G7" s="8" t="s">
        <v>11</v>
      </c>
      <c r="H7" s="9" t="s">
        <v>12</v>
      </c>
      <c r="I7" s="9" t="s">
        <v>13</v>
      </c>
      <c r="J7" s="9" t="s">
        <v>14</v>
      </c>
      <c r="K7" s="10" t="s">
        <v>15</v>
      </c>
      <c r="L7" s="6" t="s">
        <v>16</v>
      </c>
      <c r="M7" s="10" t="s">
        <v>17</v>
      </c>
      <c r="N7" s="16"/>
      <c r="O7" s="123"/>
      <c r="P7" s="114"/>
      <c r="Q7" s="115"/>
      <c r="R7" s="26"/>
      <c r="S7" s="31"/>
      <c r="T7" s="31"/>
      <c r="U7" s="31"/>
      <c r="V7" s="31"/>
      <c r="W7" s="31"/>
    </row>
    <row r="8" spans="1:23" ht="11.25" customHeight="1">
      <c r="B8" s="21"/>
      <c r="C8" s="11">
        <v>9011</v>
      </c>
      <c r="D8" s="122" t="str">
        <f>IFERROR(VLOOKUP(C8,'Base de Dados'!C:D,2,0),"")</f>
        <v/>
      </c>
      <c r="E8" s="122"/>
      <c r="F8" s="122"/>
      <c r="G8" s="122" t="str">
        <f>IFERROR(VLOOKUP(C8,'Base de Dados'!C:E,3,0),"")</f>
        <v/>
      </c>
      <c r="H8" s="122"/>
      <c r="I8" s="122"/>
      <c r="J8" s="122"/>
      <c r="K8" s="122"/>
      <c r="L8" s="122"/>
      <c r="M8" s="122"/>
      <c r="N8" s="15"/>
      <c r="O8" s="123"/>
      <c r="P8" s="114"/>
      <c r="Q8" s="115"/>
      <c r="R8" s="25"/>
    </row>
    <row r="9" spans="1:23" ht="9" customHeight="1">
      <c r="B9" s="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5"/>
      <c r="O9" s="123"/>
      <c r="P9" s="114"/>
      <c r="Q9" s="115"/>
      <c r="R9" s="25"/>
    </row>
    <row r="10" spans="1:23" ht="11.25" customHeight="1">
      <c r="B10" s="21"/>
      <c r="C10" s="33" t="s">
        <v>22</v>
      </c>
      <c r="D10" s="129" t="s">
        <v>1</v>
      </c>
      <c r="E10" s="129"/>
      <c r="F10" s="129"/>
      <c r="G10" s="33" t="s">
        <v>23</v>
      </c>
      <c r="H10" s="129" t="s">
        <v>2</v>
      </c>
      <c r="I10" s="129"/>
      <c r="J10" s="129"/>
      <c r="K10" s="129" t="s">
        <v>3</v>
      </c>
      <c r="L10" s="129"/>
      <c r="M10" s="129"/>
      <c r="N10" s="15"/>
      <c r="O10" s="123"/>
      <c r="P10" s="114"/>
      <c r="Q10" s="115"/>
      <c r="R10" s="25"/>
    </row>
    <row r="11" spans="1:23" ht="2.1" customHeight="1">
      <c r="B11" s="21"/>
      <c r="C11" s="35"/>
      <c r="D11" s="126"/>
      <c r="E11" s="126"/>
      <c r="F11" s="126"/>
      <c r="G11" s="35"/>
      <c r="H11" s="126"/>
      <c r="I11" s="126"/>
      <c r="J11" s="126"/>
      <c r="K11" s="126"/>
      <c r="L11" s="126"/>
      <c r="M11" s="126"/>
      <c r="N11" s="15"/>
      <c r="O11" s="123"/>
      <c r="P11" s="114"/>
      <c r="Q11" s="115"/>
      <c r="R11" s="25"/>
    </row>
    <row r="12" spans="1:23" ht="11.25" customHeight="1">
      <c r="B12" s="88">
        <v>1</v>
      </c>
      <c r="C12" s="60" t="str">
        <f>IFERROR(VLOOKUP(B12&amp;"-"&amp;$C$8,'Base de Dados'!B:F,5,0),"")</f>
        <v/>
      </c>
      <c r="D12" s="125" t="str">
        <f>IFERROR(VLOOKUP(C12,Configuração!A:B,2,0),"")</f>
        <v/>
      </c>
      <c r="E12" s="125"/>
      <c r="F12" s="125"/>
      <c r="G12" s="89" t="str">
        <f>IFERROR(VLOOKUP(B12&amp;"-"&amp;$C$8,'Base de Dados'!B:H,7,0),"")</f>
        <v/>
      </c>
      <c r="H12" s="118" t="str">
        <f>IFERROR(IF(VLOOKUP(B12&amp;"-"&amp;$C$8,'Base de Dados'!B:I,8,0)=0,"",VLOOKUP(B12&amp;"-"&amp;$C$8,'Base de Dados'!B:I,8,0)),"")</f>
        <v/>
      </c>
      <c r="I12" s="118"/>
      <c r="J12" s="118"/>
      <c r="K12" s="120" t="str">
        <f>IFERROR(IF(VLOOKUP(B12&amp;"-"&amp;$C$8,'Base de Dados'!B:J,9,0)=0,"",VLOOKUP(B12&amp;"-"&amp;$C$8,'Base de Dados'!B:J,9,0)),"")</f>
        <v/>
      </c>
      <c r="L12" s="120"/>
      <c r="M12" s="120"/>
      <c r="N12" s="15"/>
      <c r="O12" s="123"/>
      <c r="P12" s="114"/>
      <c r="Q12" s="115"/>
      <c r="R12" s="25"/>
    </row>
    <row r="13" spans="1:23" ht="11.25" customHeight="1">
      <c r="B13" s="88">
        <v>2</v>
      </c>
      <c r="C13" s="60" t="str">
        <f>IFERROR(VLOOKUP(B13&amp;"-"&amp;$C$8,'Base de Dados'!B:F,5,0),"")</f>
        <v/>
      </c>
      <c r="D13" s="125" t="str">
        <f>IFERROR(VLOOKUP(C13,Configuração!A:B,2,0),"")</f>
        <v/>
      </c>
      <c r="E13" s="125"/>
      <c r="F13" s="125"/>
      <c r="G13" s="89" t="str">
        <f>IFERROR(VLOOKUP(B13&amp;"-"&amp;$C$8,'Base de Dados'!B:H,7,0),"")</f>
        <v/>
      </c>
      <c r="H13" s="118" t="str">
        <f>IFERROR(IF(VLOOKUP(B13&amp;"-"&amp;$C$8,'Base de Dados'!B:I,8,0)=0,"",VLOOKUP(B13&amp;"-"&amp;$C$8,'Base de Dados'!B:I,8,0)),"")</f>
        <v/>
      </c>
      <c r="I13" s="118"/>
      <c r="J13" s="118"/>
      <c r="K13" s="120" t="str">
        <f>IFERROR(IF(VLOOKUP(B13&amp;"-"&amp;$C$8,'Base de Dados'!B:J,9,0)=0,"",VLOOKUP(B13&amp;"-"&amp;$C$8,'Base de Dados'!B:J,9,0)),"")</f>
        <v/>
      </c>
      <c r="L13" s="120"/>
      <c r="M13" s="120"/>
      <c r="N13" s="15"/>
      <c r="O13" s="123"/>
      <c r="P13" s="114"/>
      <c r="Q13" s="115"/>
      <c r="R13" s="25"/>
    </row>
    <row r="14" spans="1:23" ht="11.25" customHeight="1">
      <c r="B14" s="88">
        <v>3</v>
      </c>
      <c r="C14" s="60" t="str">
        <f>IFERROR(VLOOKUP(B14&amp;"-"&amp;$C$8,'Base de Dados'!B:F,5,0),"")</f>
        <v/>
      </c>
      <c r="D14" s="125" t="str">
        <f>IFERROR(VLOOKUP(C14,Configuração!A:B,2,0),"")</f>
        <v/>
      </c>
      <c r="E14" s="125"/>
      <c r="F14" s="125"/>
      <c r="G14" s="89" t="str">
        <f>IFERROR(VLOOKUP(B14&amp;"-"&amp;$C$8,'Base de Dados'!B:H,7,0),"")</f>
        <v/>
      </c>
      <c r="H14" s="118" t="str">
        <f>IFERROR(IF(VLOOKUP(B14&amp;"-"&amp;$C$8,'Base de Dados'!B:I,8,0)=0,"",VLOOKUP(B14&amp;"-"&amp;$C$8,'Base de Dados'!B:I,8,0)),"")</f>
        <v/>
      </c>
      <c r="I14" s="118"/>
      <c r="J14" s="118"/>
      <c r="K14" s="120" t="str">
        <f>IFERROR(IF(VLOOKUP(B14&amp;"-"&amp;$C$8,'Base de Dados'!B:J,9,0)=0,"",VLOOKUP(B14&amp;"-"&amp;$C$8,'Base de Dados'!B:J,9,0)),"")</f>
        <v/>
      </c>
      <c r="L14" s="120"/>
      <c r="M14" s="120"/>
      <c r="N14" s="15"/>
      <c r="O14" s="123"/>
      <c r="P14" s="114"/>
      <c r="Q14" s="115"/>
      <c r="R14" s="25"/>
    </row>
    <row r="15" spans="1:23" ht="11.25" customHeight="1">
      <c r="B15" s="88">
        <v>4</v>
      </c>
      <c r="C15" s="60" t="str">
        <f>IFERROR(VLOOKUP(B15&amp;"-"&amp;$C$8,'Base de Dados'!B:F,5,0),"")</f>
        <v/>
      </c>
      <c r="D15" s="125" t="str">
        <f>IFERROR(VLOOKUP(C15,Configuração!A:B,2,0),"")</f>
        <v/>
      </c>
      <c r="E15" s="125"/>
      <c r="F15" s="125"/>
      <c r="G15" s="89" t="str">
        <f>IFERROR(VLOOKUP(B15&amp;"-"&amp;$C$8,'Base de Dados'!B:H,7,0),"")</f>
        <v/>
      </c>
      <c r="H15" s="118" t="str">
        <f>IFERROR(IF(VLOOKUP(B15&amp;"-"&amp;$C$8,'Base de Dados'!B:I,8,0)=0,"",VLOOKUP(B15&amp;"-"&amp;$C$8,'Base de Dados'!B:I,8,0)),"")</f>
        <v/>
      </c>
      <c r="I15" s="118"/>
      <c r="J15" s="118"/>
      <c r="K15" s="120" t="str">
        <f>IFERROR(IF(VLOOKUP(B15&amp;"-"&amp;$C$8,'Base de Dados'!B:J,9,0)=0,"",VLOOKUP(B15&amp;"-"&amp;$C$8,'Base de Dados'!B:J,9,0)),"")</f>
        <v/>
      </c>
      <c r="L15" s="120"/>
      <c r="M15" s="120"/>
      <c r="N15" s="15"/>
      <c r="O15" s="123"/>
      <c r="P15" s="114"/>
      <c r="Q15" s="115"/>
      <c r="R15" s="25"/>
    </row>
    <row r="16" spans="1:23" ht="11.25" customHeight="1">
      <c r="B16" s="88">
        <v>5</v>
      </c>
      <c r="C16" s="60" t="str">
        <f>IFERROR(VLOOKUP(B16&amp;"-"&amp;$C$8,'Base de Dados'!B:F,5,0),"")</f>
        <v/>
      </c>
      <c r="D16" s="125" t="str">
        <f>IFERROR(VLOOKUP(C16,Configuração!A:B,2,0),"")</f>
        <v/>
      </c>
      <c r="E16" s="125"/>
      <c r="F16" s="125"/>
      <c r="G16" s="89" t="str">
        <f>IFERROR(VLOOKUP(B16&amp;"-"&amp;$C$8,'Base de Dados'!B:H,7,0),"")</f>
        <v/>
      </c>
      <c r="H16" s="118" t="str">
        <f>IFERROR(IF(VLOOKUP(B16&amp;"-"&amp;$C$8,'Base de Dados'!B:I,8,0)=0,"",VLOOKUP(B16&amp;"-"&amp;$C$8,'Base de Dados'!B:I,8,0)),"")</f>
        <v/>
      </c>
      <c r="I16" s="118"/>
      <c r="J16" s="118"/>
      <c r="K16" s="120" t="str">
        <f>IFERROR(IF(VLOOKUP(B16&amp;"-"&amp;$C$8,'Base de Dados'!B:J,9,0)=0,"",VLOOKUP(B16&amp;"-"&amp;$C$8,'Base de Dados'!B:J,9,0)),"")</f>
        <v/>
      </c>
      <c r="L16" s="120"/>
      <c r="M16" s="120"/>
      <c r="N16" s="15"/>
      <c r="O16" s="123"/>
      <c r="P16" s="114"/>
      <c r="Q16" s="115"/>
      <c r="R16" s="25"/>
    </row>
    <row r="17" spans="2:18" ht="11.25" customHeight="1">
      <c r="B17" s="88">
        <v>6</v>
      </c>
      <c r="C17" s="60" t="str">
        <f>IFERROR(VLOOKUP(B17&amp;"-"&amp;$C$8,'Base de Dados'!B:F,5,0),"")</f>
        <v/>
      </c>
      <c r="D17" s="125" t="str">
        <f>IFERROR(VLOOKUP(C17,Configuração!A:B,2,0),"")</f>
        <v/>
      </c>
      <c r="E17" s="125"/>
      <c r="F17" s="125"/>
      <c r="G17" s="89" t="str">
        <f>IFERROR(VLOOKUP(B17&amp;"-"&amp;$C$8,'Base de Dados'!B:H,7,0),"")</f>
        <v/>
      </c>
      <c r="H17" s="118" t="str">
        <f>IFERROR(IF(VLOOKUP(B17&amp;"-"&amp;$C$8,'Base de Dados'!B:I,8,0)=0,"",VLOOKUP(B17&amp;"-"&amp;$C$8,'Base de Dados'!B:I,8,0)),"")</f>
        <v/>
      </c>
      <c r="I17" s="118"/>
      <c r="J17" s="118"/>
      <c r="K17" s="120" t="str">
        <f>IFERROR(IF(VLOOKUP(B17&amp;"-"&amp;$C$8,'Base de Dados'!B:J,9,0)=0,"",VLOOKUP(B17&amp;"-"&amp;$C$8,'Base de Dados'!B:J,9,0)),"")</f>
        <v/>
      </c>
      <c r="L17" s="120"/>
      <c r="M17" s="120"/>
      <c r="N17" s="15"/>
      <c r="O17" s="123"/>
      <c r="P17" s="114"/>
      <c r="Q17" s="115"/>
      <c r="R17" s="25"/>
    </row>
    <row r="18" spans="2:18" ht="11.25" customHeight="1">
      <c r="B18" s="88">
        <v>7</v>
      </c>
      <c r="C18" s="60" t="str">
        <f>IFERROR(VLOOKUP(B18&amp;"-"&amp;$C$8,'Base de Dados'!B:F,5,0),"")</f>
        <v/>
      </c>
      <c r="D18" s="125" t="str">
        <f>IFERROR(VLOOKUP(C18,Configuração!A:B,2,0),"")</f>
        <v/>
      </c>
      <c r="E18" s="125"/>
      <c r="F18" s="125"/>
      <c r="G18" s="89" t="str">
        <f>IFERROR(VLOOKUP(B18&amp;"-"&amp;$C$8,'Base de Dados'!B:H,7,0),"")</f>
        <v/>
      </c>
      <c r="H18" s="118" t="str">
        <f>IFERROR(IF(VLOOKUP(B18&amp;"-"&amp;$C$8,'Base de Dados'!B:I,8,0)=0,"",VLOOKUP(B18&amp;"-"&amp;$C$8,'Base de Dados'!B:I,8,0)),"")</f>
        <v/>
      </c>
      <c r="I18" s="118"/>
      <c r="J18" s="118"/>
      <c r="K18" s="120" t="str">
        <f>IFERROR(IF(VLOOKUP(B18&amp;"-"&amp;$C$8,'Base de Dados'!B:J,9,0)=0,"",VLOOKUP(B18&amp;"-"&amp;$C$8,'Base de Dados'!B:J,9,0)),"")</f>
        <v/>
      </c>
      <c r="L18" s="120"/>
      <c r="M18" s="120"/>
      <c r="N18" s="15"/>
      <c r="O18" s="123"/>
      <c r="P18" s="114"/>
      <c r="Q18" s="115"/>
      <c r="R18" s="25"/>
    </row>
    <row r="19" spans="2:18" ht="11.25" customHeight="1">
      <c r="B19" s="88">
        <v>8</v>
      </c>
      <c r="C19" s="60" t="str">
        <f>IFERROR(VLOOKUP(B19&amp;"-"&amp;$C$8,'Base de Dados'!B:F,5,0),"")</f>
        <v/>
      </c>
      <c r="D19" s="125" t="str">
        <f>IFERROR(VLOOKUP(C19,Configuração!A:B,2,0),"")</f>
        <v/>
      </c>
      <c r="E19" s="125"/>
      <c r="F19" s="125"/>
      <c r="G19" s="89" t="str">
        <f>IFERROR(VLOOKUP(B19&amp;"-"&amp;$C$8,'Base de Dados'!B:H,7,0),"")</f>
        <v/>
      </c>
      <c r="H19" s="118" t="str">
        <f>IFERROR(IF(VLOOKUP(B19&amp;"-"&amp;$C$8,'Base de Dados'!B:I,8,0)=0,"",VLOOKUP(B19&amp;"-"&amp;$C$8,'Base de Dados'!B:I,8,0)),"")</f>
        <v/>
      </c>
      <c r="I19" s="118"/>
      <c r="J19" s="118"/>
      <c r="K19" s="120" t="str">
        <f>IFERROR(IF(VLOOKUP(B19&amp;"-"&amp;$C$8,'Base de Dados'!B:J,9,0)=0,"",VLOOKUP(B19&amp;"-"&amp;$C$8,'Base de Dados'!B:J,9,0)),"")</f>
        <v/>
      </c>
      <c r="L19" s="120"/>
      <c r="M19" s="120"/>
      <c r="N19" s="15"/>
      <c r="O19" s="123"/>
      <c r="P19" s="114"/>
      <c r="Q19" s="115"/>
      <c r="R19" s="25"/>
    </row>
    <row r="20" spans="2:18" ht="11.25" customHeight="1">
      <c r="B20" s="88">
        <v>9</v>
      </c>
      <c r="C20" s="60" t="str">
        <f>IFERROR(VLOOKUP(B20&amp;"-"&amp;$C$8,'Base de Dados'!B:F,5,0),"")</f>
        <v/>
      </c>
      <c r="D20" s="125" t="str">
        <f>IFERROR(VLOOKUP(C20,Configuração!A:B,2,0),"")</f>
        <v/>
      </c>
      <c r="E20" s="125"/>
      <c r="F20" s="125"/>
      <c r="G20" s="89" t="str">
        <f>IFERROR(VLOOKUP(B20&amp;"-"&amp;$C$8,'Base de Dados'!B:H,7,0),"")</f>
        <v/>
      </c>
      <c r="H20" s="118" t="str">
        <f>IFERROR(IF(VLOOKUP(B20&amp;"-"&amp;$C$8,'Base de Dados'!B:I,8,0)=0,"",VLOOKUP(B20&amp;"-"&amp;$C$8,'Base de Dados'!B:I,8,0)),"")</f>
        <v/>
      </c>
      <c r="I20" s="118"/>
      <c r="J20" s="118"/>
      <c r="K20" s="120" t="str">
        <f>IFERROR(IF(VLOOKUP(B20&amp;"-"&amp;$C$8,'Base de Dados'!B:J,9,0)=0,"",VLOOKUP(B20&amp;"-"&amp;$C$8,'Base de Dados'!B:J,9,0)),"")</f>
        <v/>
      </c>
      <c r="L20" s="120"/>
      <c r="M20" s="120"/>
      <c r="N20" s="15"/>
      <c r="O20" s="123"/>
      <c r="P20" s="114"/>
      <c r="Q20" s="115"/>
      <c r="R20" s="25"/>
    </row>
    <row r="21" spans="2:18" ht="11.25" customHeight="1">
      <c r="B21" s="88">
        <v>10</v>
      </c>
      <c r="C21" s="60" t="str">
        <f>IFERROR(VLOOKUP(B21&amp;"-"&amp;$C$8,'Base de Dados'!B:F,5,0),"")</f>
        <v/>
      </c>
      <c r="D21" s="125" t="str">
        <f>IFERROR(VLOOKUP(C21,Configuração!A:B,2,0),"")</f>
        <v/>
      </c>
      <c r="E21" s="125"/>
      <c r="F21" s="125"/>
      <c r="G21" s="89" t="str">
        <f>IFERROR(VLOOKUP(B21&amp;"-"&amp;$C$8,'Base de Dados'!B:H,7,0),"")</f>
        <v/>
      </c>
      <c r="H21" s="118" t="str">
        <f>IFERROR(IF(VLOOKUP(B21&amp;"-"&amp;$C$8,'Base de Dados'!B:I,8,0)=0,"",VLOOKUP(B21&amp;"-"&amp;$C$8,'Base de Dados'!B:I,8,0)),"")</f>
        <v/>
      </c>
      <c r="I21" s="118"/>
      <c r="J21" s="118"/>
      <c r="K21" s="120" t="str">
        <f>IFERROR(IF(VLOOKUP(B21&amp;"-"&amp;$C$8,'Base de Dados'!B:J,9,0)=0,"",VLOOKUP(B21&amp;"-"&amp;$C$8,'Base de Dados'!B:J,9,0)),"")</f>
        <v/>
      </c>
      <c r="L21" s="120"/>
      <c r="M21" s="120"/>
      <c r="N21" s="15"/>
      <c r="O21" s="123"/>
      <c r="P21" s="114"/>
      <c r="Q21" s="115"/>
      <c r="R21" s="25"/>
    </row>
    <row r="22" spans="2:18" ht="11.25" customHeight="1">
      <c r="B22" s="88">
        <v>11</v>
      </c>
      <c r="C22" s="60" t="str">
        <f>IFERROR(VLOOKUP(B22&amp;"-"&amp;$C$8,'Base de Dados'!B:F,5,0),"")</f>
        <v/>
      </c>
      <c r="D22" s="125" t="str">
        <f>IFERROR(VLOOKUP(C22,Configuração!A:B,2,0),"")</f>
        <v/>
      </c>
      <c r="E22" s="125"/>
      <c r="F22" s="125"/>
      <c r="G22" s="89" t="str">
        <f>IFERROR(VLOOKUP(B22&amp;"-"&amp;$C$8,'Base de Dados'!B:H,7,0),"")</f>
        <v/>
      </c>
      <c r="H22" s="118" t="str">
        <f>IFERROR(IF(VLOOKUP(B22&amp;"-"&amp;$C$8,'Base de Dados'!B:I,8,0)=0,"",VLOOKUP(B22&amp;"-"&amp;$C$8,'Base de Dados'!B:I,8,0)),"")</f>
        <v/>
      </c>
      <c r="I22" s="118"/>
      <c r="J22" s="118"/>
      <c r="K22" s="120" t="str">
        <f>IFERROR(IF(VLOOKUP(B22&amp;"-"&amp;$C$8,'Base de Dados'!B:J,9,0)=0,"",VLOOKUP(B22&amp;"-"&amp;$C$8,'Base de Dados'!B:J,9,0)),"")</f>
        <v/>
      </c>
      <c r="L22" s="120"/>
      <c r="M22" s="120"/>
      <c r="N22" s="15"/>
      <c r="O22" s="123"/>
      <c r="P22" s="114"/>
      <c r="Q22" s="115"/>
      <c r="R22" s="25"/>
    </row>
    <row r="23" spans="2:18" ht="11.25" customHeight="1">
      <c r="B23" s="88">
        <v>12</v>
      </c>
      <c r="C23" s="60" t="str">
        <f>IFERROR(VLOOKUP(B23&amp;"-"&amp;$C$8,'Base de Dados'!B:F,5,0),"")</f>
        <v/>
      </c>
      <c r="D23" s="125" t="str">
        <f>IFERROR(VLOOKUP(C23,Configuração!A:B,2,0),"")</f>
        <v/>
      </c>
      <c r="E23" s="125"/>
      <c r="F23" s="125"/>
      <c r="G23" s="89" t="str">
        <f>IFERROR(VLOOKUP(B23&amp;"-"&amp;$C$8,'Base de Dados'!B:H,7,0),"")</f>
        <v/>
      </c>
      <c r="H23" s="118" t="str">
        <f>IFERROR(IF(VLOOKUP(B23&amp;"-"&amp;$C$8,'Base de Dados'!B:I,8,0)=0,"",VLOOKUP(B23&amp;"-"&amp;$C$8,'Base de Dados'!B:I,8,0)),"")</f>
        <v/>
      </c>
      <c r="I23" s="118"/>
      <c r="J23" s="118"/>
      <c r="K23" s="120" t="str">
        <f>IFERROR(IF(VLOOKUP(B23&amp;"-"&amp;$C$8,'Base de Dados'!B:J,9,0)=0,"",VLOOKUP(B23&amp;"-"&amp;$C$8,'Base de Dados'!B:J,9,0)),"")</f>
        <v/>
      </c>
      <c r="L23" s="120"/>
      <c r="M23" s="120"/>
      <c r="N23" s="15"/>
      <c r="O23" s="123"/>
      <c r="P23" s="4"/>
      <c r="Q23" s="4"/>
      <c r="R23" s="25"/>
    </row>
    <row r="24" spans="2:18" ht="11.25" customHeight="1">
      <c r="B24" s="88">
        <v>13</v>
      </c>
      <c r="C24" s="60" t="str">
        <f>IFERROR(VLOOKUP(B24&amp;"-"&amp;$C$8,'Base de Dados'!B:F,5,0),"")</f>
        <v/>
      </c>
      <c r="D24" s="125" t="str">
        <f>IFERROR(VLOOKUP(C24,Configuração!A:B,2,0),"")</f>
        <v/>
      </c>
      <c r="E24" s="125"/>
      <c r="F24" s="125"/>
      <c r="G24" s="89" t="str">
        <f>IFERROR(VLOOKUP(B24&amp;"-"&amp;$C$8,'Base de Dados'!B:H,7,0),"")</f>
        <v/>
      </c>
      <c r="H24" s="118" t="str">
        <f>IFERROR(IF(VLOOKUP(B24&amp;"-"&amp;$C$8,'Base de Dados'!B:I,8,0)=0,"",VLOOKUP(B24&amp;"-"&amp;$C$8,'Base de Dados'!B:I,8,0)),"")</f>
        <v/>
      </c>
      <c r="I24" s="118"/>
      <c r="J24" s="118"/>
      <c r="K24" s="120" t="str">
        <f>IFERROR(IF(VLOOKUP(B24&amp;"-"&amp;$C$8,'Base de Dados'!B:J,9,0)=0,"",VLOOKUP(B24&amp;"-"&amp;$C$8,'Base de Dados'!B:J,9,0)),"")</f>
        <v/>
      </c>
      <c r="L24" s="120"/>
      <c r="M24" s="120"/>
      <c r="N24" s="15"/>
      <c r="O24" s="123"/>
      <c r="P24" s="4"/>
      <c r="Q24" s="4"/>
      <c r="R24" s="25"/>
    </row>
    <row r="25" spans="2:18" ht="11.25" customHeight="1">
      <c r="B25" s="88">
        <v>14</v>
      </c>
      <c r="C25" s="60" t="str">
        <f>IFERROR(VLOOKUP(B25&amp;"-"&amp;$C$8,'Base de Dados'!B:F,5,0),"")</f>
        <v/>
      </c>
      <c r="D25" s="125" t="str">
        <f>IFERROR(VLOOKUP(C25,Configuração!A:B,2,0),"")</f>
        <v/>
      </c>
      <c r="E25" s="125"/>
      <c r="F25" s="125"/>
      <c r="G25" s="89" t="str">
        <f>IFERROR(VLOOKUP(B25&amp;"-"&amp;$C$8,'Base de Dados'!B:H,7,0),"")</f>
        <v/>
      </c>
      <c r="H25" s="118" t="str">
        <f>IFERROR(IF(VLOOKUP(B25&amp;"-"&amp;$C$8,'Base de Dados'!B:I,8,0)=0,"",VLOOKUP(B25&amp;"-"&amp;$C$8,'Base de Dados'!B:I,8,0)),"")</f>
        <v/>
      </c>
      <c r="I25" s="118"/>
      <c r="J25" s="118"/>
      <c r="K25" s="120" t="str">
        <f>IFERROR(IF(VLOOKUP(B25&amp;"-"&amp;$C$8,'Base de Dados'!B:J,9,0)=0,"",VLOOKUP(B25&amp;"-"&amp;$C$8,'Base de Dados'!B:J,9,0)),"")</f>
        <v/>
      </c>
      <c r="L25" s="120"/>
      <c r="M25" s="120"/>
      <c r="N25" s="15"/>
      <c r="O25" s="123"/>
      <c r="P25" s="113" t="s">
        <v>33</v>
      </c>
      <c r="Q25" s="115" t="s">
        <v>30</v>
      </c>
      <c r="R25" s="25"/>
    </row>
    <row r="26" spans="2:18" ht="11.25" customHeight="1">
      <c r="B26" s="88">
        <v>15</v>
      </c>
      <c r="C26" s="60" t="str">
        <f>IFERROR(VLOOKUP(B26&amp;"-"&amp;$C$8,'Base de Dados'!B:F,5,0),"")</f>
        <v/>
      </c>
      <c r="D26" s="125" t="str">
        <f>IFERROR(VLOOKUP(C26,Configuração!A:B,2,0),"")</f>
        <v/>
      </c>
      <c r="E26" s="125"/>
      <c r="F26" s="125"/>
      <c r="G26" s="89" t="str">
        <f>IFERROR(VLOOKUP(B26&amp;"-"&amp;$C$8,'Base de Dados'!B:H,7,0),"")</f>
        <v/>
      </c>
      <c r="H26" s="118" t="str">
        <f>IFERROR(IF(VLOOKUP(B26&amp;"-"&amp;$C$8,'Base de Dados'!B:I,8,0)=0,"",VLOOKUP(B26&amp;"-"&amp;$C$8,'Base de Dados'!B:I,8,0)),"")</f>
        <v/>
      </c>
      <c r="I26" s="118"/>
      <c r="J26" s="118"/>
      <c r="K26" s="120" t="str">
        <f>IFERROR(IF(VLOOKUP(B26&amp;"-"&amp;$C$8,'Base de Dados'!B:J,9,0)=0,"",VLOOKUP(B26&amp;"-"&amp;$C$8,'Base de Dados'!B:J,9,0)),"")</f>
        <v/>
      </c>
      <c r="L26" s="120"/>
      <c r="M26" s="120"/>
      <c r="N26" s="15"/>
      <c r="O26" s="123"/>
      <c r="P26" s="113"/>
      <c r="Q26" s="115"/>
      <c r="R26" s="25"/>
    </row>
    <row r="27" spans="2:18" ht="11.25" customHeight="1">
      <c r="B27" s="88">
        <v>16</v>
      </c>
      <c r="C27" s="60" t="str">
        <f>IFERROR(VLOOKUP(B27&amp;"-"&amp;$C$8,'Base de Dados'!B:F,5,0),"")</f>
        <v/>
      </c>
      <c r="D27" s="125" t="str">
        <f>IFERROR(VLOOKUP(C27,Configuração!A:B,2,0),"")</f>
        <v/>
      </c>
      <c r="E27" s="125"/>
      <c r="F27" s="125"/>
      <c r="G27" s="89" t="str">
        <f>IFERROR(VLOOKUP(B27&amp;"-"&amp;$C$8,'Base de Dados'!B:H,7,0),"")</f>
        <v/>
      </c>
      <c r="H27" s="118" t="str">
        <f>IFERROR(IF(VLOOKUP(B27&amp;"-"&amp;$C$8,'Base de Dados'!B:I,8,0)=0,"",VLOOKUP(B27&amp;"-"&amp;$C$8,'Base de Dados'!B:I,8,0)),"")</f>
        <v/>
      </c>
      <c r="I27" s="118"/>
      <c r="J27" s="118"/>
      <c r="K27" s="120" t="str">
        <f>IFERROR(IF(VLOOKUP(B27&amp;"-"&amp;$C$8,'Base de Dados'!B:J,9,0)=0,"",VLOOKUP(B27&amp;"-"&amp;$C$8,'Base de Dados'!B:J,9,0)),"")</f>
        <v/>
      </c>
      <c r="L27" s="120"/>
      <c r="M27" s="120"/>
      <c r="N27" s="15"/>
      <c r="O27" s="123"/>
      <c r="P27" s="113"/>
      <c r="Q27" s="115"/>
      <c r="R27" s="25"/>
    </row>
    <row r="28" spans="2:18" ht="11.25" customHeight="1">
      <c r="B28" s="88">
        <v>17</v>
      </c>
      <c r="C28" s="60" t="str">
        <f>IFERROR(VLOOKUP(B28&amp;"-"&amp;$C$8,'Base de Dados'!B:F,5,0),"")</f>
        <v/>
      </c>
      <c r="D28" s="125" t="str">
        <f>IFERROR(VLOOKUP(C28,Configuração!A:B,2,0),"")</f>
        <v/>
      </c>
      <c r="E28" s="125"/>
      <c r="F28" s="125"/>
      <c r="G28" s="89" t="str">
        <f>IFERROR(VLOOKUP(B28&amp;"-"&amp;$C$8,'Base de Dados'!B:H,7,0),"")</f>
        <v/>
      </c>
      <c r="H28" s="118" t="str">
        <f>IFERROR(IF(VLOOKUP(B28&amp;"-"&amp;$C$8,'Base de Dados'!B:I,8,0)=0,"",VLOOKUP(B28&amp;"-"&amp;$C$8,'Base de Dados'!B:I,8,0)),"")</f>
        <v/>
      </c>
      <c r="I28" s="118"/>
      <c r="J28" s="118"/>
      <c r="K28" s="120" t="str">
        <f>IFERROR(IF(VLOOKUP(B28&amp;"-"&amp;$C$8,'Base de Dados'!B:J,9,0)=0,"",VLOOKUP(B28&amp;"-"&amp;$C$8,'Base de Dados'!B:J,9,0)),"")</f>
        <v/>
      </c>
      <c r="L28" s="120"/>
      <c r="M28" s="120"/>
      <c r="N28" s="15"/>
      <c r="O28" s="123"/>
      <c r="P28" s="113"/>
      <c r="Q28" s="115"/>
      <c r="R28" s="25"/>
    </row>
    <row r="29" spans="2:18" ht="11.25" customHeight="1">
      <c r="B29" s="88">
        <v>18</v>
      </c>
      <c r="C29" s="60" t="str">
        <f>IFERROR(VLOOKUP(B29&amp;"-"&amp;$C$8,'Base de Dados'!B:F,5,0),"")</f>
        <v/>
      </c>
      <c r="D29" s="125" t="str">
        <f>IFERROR(VLOOKUP(C29,Configuração!A:B,2,0),"")</f>
        <v/>
      </c>
      <c r="E29" s="125"/>
      <c r="F29" s="125"/>
      <c r="G29" s="89" t="str">
        <f>IFERROR(VLOOKUP(B29&amp;"-"&amp;$C$8,'Base de Dados'!B:H,7,0),"")</f>
        <v/>
      </c>
      <c r="H29" s="118" t="str">
        <f>IFERROR(IF(VLOOKUP(B29&amp;"-"&amp;$C$8,'Base de Dados'!B:I,8,0)=0,"",VLOOKUP(B29&amp;"-"&amp;$C$8,'Base de Dados'!B:I,8,0)),"")</f>
        <v/>
      </c>
      <c r="I29" s="118"/>
      <c r="J29" s="118"/>
      <c r="K29" s="120" t="str">
        <f>IFERROR(IF(VLOOKUP(B29&amp;"-"&amp;$C$8,'Base de Dados'!B:J,9,0)=0,"",VLOOKUP(B29&amp;"-"&amp;$C$8,'Base de Dados'!B:J,9,0)),"")</f>
        <v/>
      </c>
      <c r="L29" s="120"/>
      <c r="M29" s="120"/>
      <c r="N29" s="15"/>
      <c r="O29" s="123"/>
      <c r="P29" s="113"/>
      <c r="Q29" s="115"/>
      <c r="R29" s="25"/>
    </row>
    <row r="30" spans="2:18" ht="2.1" customHeight="1">
      <c r="B30" s="21"/>
      <c r="C30" s="37"/>
      <c r="D30" s="135"/>
      <c r="E30" s="135"/>
      <c r="F30" s="135"/>
      <c r="G30" s="37"/>
      <c r="H30" s="119"/>
      <c r="I30" s="119"/>
      <c r="J30" s="119"/>
      <c r="K30" s="119"/>
      <c r="L30" s="119"/>
      <c r="M30" s="119"/>
      <c r="N30" s="15"/>
      <c r="O30" s="123"/>
      <c r="P30" s="113"/>
      <c r="Q30" s="115"/>
      <c r="R30" s="25"/>
    </row>
    <row r="31" spans="2:18" ht="9.75" customHeight="1">
      <c r="B31" s="21"/>
      <c r="C31" s="136"/>
      <c r="D31" s="136"/>
      <c r="E31" s="136"/>
      <c r="F31" s="136"/>
      <c r="G31" s="136"/>
      <c r="H31" s="131" t="s">
        <v>24</v>
      </c>
      <c r="I31" s="131"/>
      <c r="J31" s="131"/>
      <c r="K31" s="132" t="s">
        <v>4</v>
      </c>
      <c r="L31" s="132"/>
      <c r="M31" s="132"/>
      <c r="N31" s="15"/>
      <c r="O31" s="123"/>
      <c r="P31" s="113"/>
      <c r="Q31" s="115"/>
      <c r="R31" s="25"/>
    </row>
    <row r="32" spans="2:18" ht="11.25" customHeight="1">
      <c r="B32" s="21"/>
      <c r="C32" s="136"/>
      <c r="D32" s="136"/>
      <c r="E32" s="136"/>
      <c r="F32" s="136"/>
      <c r="G32" s="136"/>
      <c r="H32" s="133">
        <f>SUM(H12:J29)</f>
        <v>0</v>
      </c>
      <c r="I32" s="133"/>
      <c r="J32" s="133"/>
      <c r="K32" s="134">
        <f>SUM(K13:M29)</f>
        <v>0</v>
      </c>
      <c r="L32" s="134"/>
      <c r="M32" s="134"/>
      <c r="N32" s="15"/>
      <c r="O32" s="123"/>
      <c r="P32" s="113"/>
      <c r="Q32" s="115"/>
      <c r="R32" s="25"/>
    </row>
    <row r="33" spans="1:23" ht="2.1" customHeight="1">
      <c r="B33" s="21"/>
      <c r="C33" s="136"/>
      <c r="D33" s="136"/>
      <c r="E33" s="136"/>
      <c r="F33" s="136"/>
      <c r="G33" s="136"/>
      <c r="H33" s="141"/>
      <c r="I33" s="141"/>
      <c r="J33" s="141"/>
      <c r="K33" s="141"/>
      <c r="L33" s="141"/>
      <c r="M33" s="141"/>
      <c r="N33" s="15"/>
      <c r="O33" s="123"/>
      <c r="P33" s="113"/>
      <c r="Q33" s="115"/>
      <c r="R33" s="25"/>
    </row>
    <row r="34" spans="1:23" ht="9.1999999999999993" customHeight="1">
      <c r="B34" s="21"/>
      <c r="C34" s="136"/>
      <c r="D34" s="136"/>
      <c r="E34" s="136"/>
      <c r="F34" s="136"/>
      <c r="G34" s="136"/>
      <c r="H34" s="137" t="s">
        <v>25</v>
      </c>
      <c r="I34" s="137"/>
      <c r="J34" s="137"/>
      <c r="K34" s="138">
        <f>H32-K32</f>
        <v>0</v>
      </c>
      <c r="L34" s="138"/>
      <c r="M34" s="138"/>
      <c r="N34" s="15"/>
      <c r="O34" s="123"/>
      <c r="P34" s="113"/>
      <c r="Q34" s="115"/>
      <c r="R34" s="25"/>
    </row>
    <row r="35" spans="1:23" ht="12" customHeight="1">
      <c r="B35" s="21"/>
      <c r="C35" s="136"/>
      <c r="D35" s="136"/>
      <c r="E35" s="136"/>
      <c r="F35" s="136"/>
      <c r="G35" s="136"/>
      <c r="H35" s="137"/>
      <c r="I35" s="137"/>
      <c r="J35" s="137"/>
      <c r="K35" s="138"/>
      <c r="L35" s="138"/>
      <c r="M35" s="138"/>
      <c r="N35" s="15"/>
      <c r="O35" s="123"/>
      <c r="P35" s="113"/>
      <c r="Q35" s="115"/>
      <c r="R35" s="25"/>
    </row>
    <row r="36" spans="1:23" ht="2.1" customHeight="1">
      <c r="B36" s="21"/>
      <c r="C36" s="38"/>
      <c r="D36" s="38"/>
      <c r="E36" s="38"/>
      <c r="F36" s="38"/>
      <c r="G36" s="38"/>
      <c r="H36" s="39"/>
      <c r="I36" s="39"/>
      <c r="J36" s="39"/>
      <c r="K36" s="40"/>
      <c r="L36" s="40"/>
      <c r="M36" s="40"/>
      <c r="N36" s="15"/>
      <c r="O36" s="123"/>
      <c r="P36" s="113"/>
      <c r="Q36" s="115"/>
      <c r="R36" s="25"/>
    </row>
    <row r="37" spans="1:23" s="2" customFormat="1" ht="13.5" customHeight="1">
      <c r="A37" s="32"/>
      <c r="B37" s="23"/>
      <c r="C37" s="130" t="s">
        <v>18</v>
      </c>
      <c r="D37" s="130"/>
      <c r="E37" s="9" t="s">
        <v>19</v>
      </c>
      <c r="F37" s="7" t="s">
        <v>20</v>
      </c>
      <c r="G37" s="130" t="s">
        <v>21</v>
      </c>
      <c r="H37" s="130"/>
      <c r="I37" s="139" t="s">
        <v>27</v>
      </c>
      <c r="J37" s="139"/>
      <c r="K37" s="139"/>
      <c r="L37" s="139" t="s">
        <v>26</v>
      </c>
      <c r="M37" s="139"/>
      <c r="N37" s="17"/>
      <c r="O37" s="123"/>
      <c r="P37" s="113"/>
      <c r="Q37" s="115"/>
      <c r="R37" s="27"/>
      <c r="S37" s="32"/>
      <c r="T37" s="32"/>
      <c r="U37" s="32"/>
      <c r="V37" s="32"/>
      <c r="W37" s="32"/>
    </row>
    <row r="38" spans="1:23" ht="11.25" customHeight="1">
      <c r="B38" s="21"/>
      <c r="C38" s="142">
        <v>2500</v>
      </c>
      <c r="D38" s="142"/>
      <c r="E38" s="12">
        <v>2500</v>
      </c>
      <c r="F38" s="13">
        <v>2500</v>
      </c>
      <c r="G38" s="142">
        <v>200</v>
      </c>
      <c r="H38" s="142"/>
      <c r="I38" s="140">
        <v>2225</v>
      </c>
      <c r="J38" s="140"/>
      <c r="K38" s="140"/>
      <c r="L38" s="143">
        <v>2</v>
      </c>
      <c r="M38" s="143"/>
      <c r="N38" s="15"/>
      <c r="O38" s="123"/>
      <c r="P38" s="14"/>
      <c r="Q38" s="14"/>
      <c r="R38" s="25"/>
    </row>
    <row r="39" spans="1:23" ht="9" customHeight="1">
      <c r="B39" s="24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8"/>
    </row>
    <row r="40" spans="1:23" s="30" customFormat="1" ht="3.95" customHeight="1"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</row>
    <row r="41" spans="1:23" s="45" customFormat="1" ht="33.75" customHeight="1">
      <c r="B41" s="151" t="s">
        <v>34</v>
      </c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</row>
    <row r="42" spans="1:23" s="30" customFormat="1" ht="3.95" customHeight="1"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</row>
    <row r="43" spans="1:23" s="30" customFormat="1" ht="9" customHeight="1"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20"/>
    </row>
    <row r="44" spans="1:23" s="30" customFormat="1">
      <c r="B44" s="21"/>
      <c r="C44" s="144" t="str">
        <f>IF(C3="","",C3)</f>
        <v>NOME DA EMPRESA LTDA</v>
      </c>
      <c r="D44" s="144"/>
      <c r="E44" s="144"/>
      <c r="F44" s="144"/>
      <c r="G44" s="117" t="s">
        <v>5</v>
      </c>
      <c r="H44" s="117"/>
      <c r="I44" s="117"/>
      <c r="J44" s="117"/>
      <c r="K44" s="117"/>
      <c r="L44" s="117"/>
      <c r="M44" s="117"/>
      <c r="N44" s="15"/>
      <c r="O44" s="123" t="s">
        <v>29</v>
      </c>
      <c r="P44" s="46"/>
      <c r="Q44" s="46"/>
      <c r="R44" s="25"/>
    </row>
    <row r="45" spans="1:23" s="30" customFormat="1" ht="5.25" customHeight="1">
      <c r="B45" s="21"/>
      <c r="C45" s="144"/>
      <c r="D45" s="144"/>
      <c r="E45" s="144"/>
      <c r="F45" s="144"/>
      <c r="G45" s="117"/>
      <c r="H45" s="117"/>
      <c r="I45" s="117"/>
      <c r="J45" s="117"/>
      <c r="K45" s="117"/>
      <c r="L45" s="117"/>
      <c r="M45" s="117"/>
      <c r="N45" s="15"/>
      <c r="O45" s="123"/>
      <c r="P45" s="114" t="s">
        <v>32</v>
      </c>
      <c r="Q45" s="47"/>
      <c r="R45" s="25"/>
    </row>
    <row r="46" spans="1:23" s="30" customFormat="1">
      <c r="B46" s="21"/>
      <c r="C46" s="145" t="str">
        <f>IF(C5="","",C5)</f>
        <v>CNPJ: 00.000.000/001-36</v>
      </c>
      <c r="D46" s="146"/>
      <c r="E46" s="146"/>
      <c r="F46" s="146"/>
      <c r="G46" s="116" t="str">
        <f>IF(G5="","",G5)</f>
        <v>JANEIRO/2011</v>
      </c>
      <c r="H46" s="116"/>
      <c r="I46" s="116"/>
      <c r="J46" s="116"/>
      <c r="K46" s="116"/>
      <c r="L46" s="116"/>
      <c r="M46" s="116"/>
      <c r="N46" s="15"/>
      <c r="O46" s="123"/>
      <c r="P46" s="114"/>
      <c r="Q46" s="115" t="s">
        <v>31</v>
      </c>
      <c r="R46" s="25"/>
    </row>
    <row r="47" spans="1:23" s="30" customFormat="1" ht="2.1" customHeight="1">
      <c r="B47" s="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5"/>
      <c r="O47" s="123"/>
      <c r="P47" s="114"/>
      <c r="Q47" s="115"/>
      <c r="R47" s="25"/>
    </row>
    <row r="48" spans="1:23" s="30" customFormat="1">
      <c r="B48" s="22"/>
      <c r="C48" s="6" t="s">
        <v>9</v>
      </c>
      <c r="D48" s="130" t="s">
        <v>10</v>
      </c>
      <c r="E48" s="130"/>
      <c r="F48" s="130"/>
      <c r="G48" s="8" t="s">
        <v>11</v>
      </c>
      <c r="H48" s="9" t="s">
        <v>12</v>
      </c>
      <c r="I48" s="9" t="s">
        <v>13</v>
      </c>
      <c r="J48" s="9" t="s">
        <v>14</v>
      </c>
      <c r="K48" s="10" t="s">
        <v>15</v>
      </c>
      <c r="L48" s="6" t="s">
        <v>16</v>
      </c>
      <c r="M48" s="10" t="s">
        <v>17</v>
      </c>
      <c r="N48" s="16"/>
      <c r="O48" s="123"/>
      <c r="P48" s="114"/>
      <c r="Q48" s="115"/>
      <c r="R48" s="26"/>
    </row>
    <row r="49" spans="2:18" s="30" customFormat="1">
      <c r="B49" s="21"/>
      <c r="C49" s="11">
        <f>IF(C8="","",C8)</f>
        <v>9011</v>
      </c>
      <c r="D49" s="122" t="str">
        <f>IF(D8="","",D8)</f>
        <v/>
      </c>
      <c r="E49" s="122"/>
      <c r="F49" s="122"/>
      <c r="G49" s="149" t="str">
        <f>IF(G8="","",G8)</f>
        <v/>
      </c>
      <c r="H49" s="149"/>
      <c r="I49" s="149"/>
      <c r="J49" s="149"/>
      <c r="K49" s="149"/>
      <c r="L49" s="149"/>
      <c r="M49" s="149"/>
      <c r="N49" s="15"/>
      <c r="O49" s="123"/>
      <c r="P49" s="114"/>
      <c r="Q49" s="115"/>
      <c r="R49" s="25"/>
    </row>
    <row r="50" spans="2:18" s="30" customFormat="1" ht="9" customHeight="1">
      <c r="B50" s="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5"/>
      <c r="O50" s="123"/>
      <c r="P50" s="114"/>
      <c r="Q50" s="115"/>
      <c r="R50" s="25"/>
    </row>
    <row r="51" spans="2:18" s="30" customFormat="1">
      <c r="B51" s="21"/>
      <c r="C51" s="33" t="s">
        <v>22</v>
      </c>
      <c r="D51" s="129" t="s">
        <v>1</v>
      </c>
      <c r="E51" s="129"/>
      <c r="F51" s="129"/>
      <c r="G51" s="33" t="s">
        <v>23</v>
      </c>
      <c r="H51" s="129" t="s">
        <v>2</v>
      </c>
      <c r="I51" s="129"/>
      <c r="J51" s="129"/>
      <c r="K51" s="129" t="s">
        <v>3</v>
      </c>
      <c r="L51" s="129"/>
      <c r="M51" s="129"/>
      <c r="N51" s="15"/>
      <c r="O51" s="123"/>
      <c r="P51" s="114"/>
      <c r="Q51" s="115"/>
      <c r="R51" s="25"/>
    </row>
    <row r="52" spans="2:18" s="30" customFormat="1" ht="2.1" customHeight="1">
      <c r="B52" s="21"/>
      <c r="C52" s="35"/>
      <c r="D52" s="126"/>
      <c r="E52" s="126"/>
      <c r="F52" s="126"/>
      <c r="G52" s="35"/>
      <c r="H52" s="126"/>
      <c r="I52" s="126"/>
      <c r="J52" s="126"/>
      <c r="K52" s="126"/>
      <c r="L52" s="126"/>
      <c r="M52" s="126"/>
      <c r="N52" s="15"/>
      <c r="O52" s="123"/>
      <c r="P52" s="114"/>
      <c r="Q52" s="115"/>
      <c r="R52" s="25"/>
    </row>
    <row r="53" spans="2:18" s="30" customFormat="1">
      <c r="B53" s="21"/>
      <c r="C53" s="60" t="str">
        <f>IF(C12="","",C12)</f>
        <v/>
      </c>
      <c r="D53" s="125" t="str">
        <f>IF(D12="","",D12)</f>
        <v/>
      </c>
      <c r="E53" s="125"/>
      <c r="F53" s="125"/>
      <c r="G53" s="57" t="str">
        <f>IF(G12="","",G12)</f>
        <v/>
      </c>
      <c r="H53" s="118" t="str">
        <f>IF(H12="","",H12)</f>
        <v/>
      </c>
      <c r="I53" s="147"/>
      <c r="J53" s="147"/>
      <c r="K53" s="120" t="str">
        <f>IF(K12="","",K12)</f>
        <v/>
      </c>
      <c r="L53" s="148"/>
      <c r="M53" s="148"/>
      <c r="N53" s="15"/>
      <c r="O53" s="123"/>
      <c r="P53" s="114"/>
      <c r="Q53" s="115"/>
      <c r="R53" s="25"/>
    </row>
    <row r="54" spans="2:18" s="30" customFormat="1">
      <c r="B54" s="21"/>
      <c r="C54" s="60" t="str">
        <f t="shared" ref="C54:C70" si="0">IF(C13="","",C13)</f>
        <v/>
      </c>
      <c r="D54" s="125" t="str">
        <f t="shared" ref="D54:D70" si="1">IF(D13="","",D13)</f>
        <v/>
      </c>
      <c r="E54" s="125"/>
      <c r="F54" s="125"/>
      <c r="G54" s="57" t="str">
        <f t="shared" ref="G54:G70" si="2">IF(G13="","",G13)</f>
        <v/>
      </c>
      <c r="H54" s="118" t="str">
        <f t="shared" ref="H54:H70" si="3">IF(H13="","",H13)</f>
        <v/>
      </c>
      <c r="I54" s="147"/>
      <c r="J54" s="147"/>
      <c r="K54" s="120" t="str">
        <f>IF(K13="","",K13)</f>
        <v/>
      </c>
      <c r="L54" s="148"/>
      <c r="M54" s="148"/>
      <c r="N54" s="15"/>
      <c r="O54" s="123"/>
      <c r="P54" s="114"/>
      <c r="Q54" s="115"/>
      <c r="R54" s="25"/>
    </row>
    <row r="55" spans="2:18" s="30" customFormat="1">
      <c r="B55" s="21"/>
      <c r="C55" s="60" t="str">
        <f t="shared" si="0"/>
        <v/>
      </c>
      <c r="D55" s="125" t="str">
        <f t="shared" si="1"/>
        <v/>
      </c>
      <c r="E55" s="125"/>
      <c r="F55" s="125"/>
      <c r="G55" s="57" t="str">
        <f t="shared" si="2"/>
        <v/>
      </c>
      <c r="H55" s="118" t="str">
        <f t="shared" si="3"/>
        <v/>
      </c>
      <c r="I55" s="147"/>
      <c r="J55" s="147"/>
      <c r="K55" s="120" t="str">
        <f>IF(K14="","",K14)</f>
        <v/>
      </c>
      <c r="L55" s="148"/>
      <c r="M55" s="148"/>
      <c r="N55" s="15"/>
      <c r="O55" s="123"/>
      <c r="P55" s="114"/>
      <c r="Q55" s="115"/>
      <c r="R55" s="25"/>
    </row>
    <row r="56" spans="2:18" s="30" customFormat="1">
      <c r="B56" s="21"/>
      <c r="C56" s="60" t="str">
        <f t="shared" si="0"/>
        <v/>
      </c>
      <c r="D56" s="125" t="str">
        <f t="shared" si="1"/>
        <v/>
      </c>
      <c r="E56" s="125"/>
      <c r="F56" s="125"/>
      <c r="G56" s="57" t="str">
        <f t="shared" si="2"/>
        <v/>
      </c>
      <c r="H56" s="118" t="str">
        <f t="shared" si="3"/>
        <v/>
      </c>
      <c r="I56" s="147"/>
      <c r="J56" s="147"/>
      <c r="K56" s="120" t="str">
        <f>IF(K15="","",K15)</f>
        <v/>
      </c>
      <c r="L56" s="148"/>
      <c r="M56" s="148"/>
      <c r="N56" s="15"/>
      <c r="O56" s="123"/>
      <c r="P56" s="114"/>
      <c r="Q56" s="115"/>
      <c r="R56" s="25"/>
    </row>
    <row r="57" spans="2:18" s="30" customFormat="1">
      <c r="B57" s="21"/>
      <c r="C57" s="60" t="str">
        <f t="shared" si="0"/>
        <v/>
      </c>
      <c r="D57" s="125" t="str">
        <f t="shared" si="1"/>
        <v/>
      </c>
      <c r="E57" s="125"/>
      <c r="F57" s="125"/>
      <c r="G57" s="57" t="str">
        <f t="shared" si="2"/>
        <v/>
      </c>
      <c r="H57" s="118" t="str">
        <f t="shared" si="3"/>
        <v/>
      </c>
      <c r="I57" s="147"/>
      <c r="J57" s="147"/>
      <c r="K57" s="120" t="str">
        <f t="shared" ref="K57:K70" si="4">IF(K16="","",K16)</f>
        <v/>
      </c>
      <c r="L57" s="148"/>
      <c r="M57" s="148"/>
      <c r="N57" s="15"/>
      <c r="O57" s="123"/>
      <c r="P57" s="114"/>
      <c r="Q57" s="115"/>
      <c r="R57" s="25"/>
    </row>
    <row r="58" spans="2:18" s="30" customFormat="1">
      <c r="B58" s="21"/>
      <c r="C58" s="60" t="str">
        <f t="shared" si="0"/>
        <v/>
      </c>
      <c r="D58" s="125" t="str">
        <f t="shared" si="1"/>
        <v/>
      </c>
      <c r="E58" s="125"/>
      <c r="F58" s="125"/>
      <c r="G58" s="57" t="str">
        <f t="shared" si="2"/>
        <v/>
      </c>
      <c r="H58" s="118" t="str">
        <f t="shared" si="3"/>
        <v/>
      </c>
      <c r="I58" s="147"/>
      <c r="J58" s="147"/>
      <c r="K58" s="120" t="str">
        <f t="shared" si="4"/>
        <v/>
      </c>
      <c r="L58" s="148"/>
      <c r="M58" s="148"/>
      <c r="N58" s="15"/>
      <c r="O58" s="123"/>
      <c r="P58" s="114"/>
      <c r="Q58" s="115"/>
      <c r="R58" s="25"/>
    </row>
    <row r="59" spans="2:18" s="30" customFormat="1">
      <c r="B59" s="21"/>
      <c r="C59" s="60" t="str">
        <f t="shared" si="0"/>
        <v/>
      </c>
      <c r="D59" s="125" t="str">
        <f t="shared" si="1"/>
        <v/>
      </c>
      <c r="E59" s="125"/>
      <c r="F59" s="125"/>
      <c r="G59" s="57" t="str">
        <f t="shared" si="2"/>
        <v/>
      </c>
      <c r="H59" s="118" t="str">
        <f t="shared" si="3"/>
        <v/>
      </c>
      <c r="I59" s="147"/>
      <c r="J59" s="147"/>
      <c r="K59" s="120" t="str">
        <f t="shared" si="4"/>
        <v/>
      </c>
      <c r="L59" s="148"/>
      <c r="M59" s="148"/>
      <c r="N59" s="15"/>
      <c r="O59" s="123"/>
      <c r="P59" s="114"/>
      <c r="Q59" s="115"/>
      <c r="R59" s="25"/>
    </row>
    <row r="60" spans="2:18">
      <c r="B60" s="21"/>
      <c r="C60" s="60" t="str">
        <f t="shared" si="0"/>
        <v/>
      </c>
      <c r="D60" s="125" t="str">
        <f t="shared" si="1"/>
        <v/>
      </c>
      <c r="E60" s="125"/>
      <c r="F60" s="125"/>
      <c r="G60" s="57" t="str">
        <f t="shared" si="2"/>
        <v/>
      </c>
      <c r="H60" s="118" t="str">
        <f t="shared" si="3"/>
        <v/>
      </c>
      <c r="I60" s="147"/>
      <c r="J60" s="147"/>
      <c r="K60" s="120" t="str">
        <f t="shared" si="4"/>
        <v/>
      </c>
      <c r="L60" s="148"/>
      <c r="M60" s="148"/>
      <c r="N60" s="15"/>
      <c r="O60" s="123"/>
      <c r="P60" s="114"/>
      <c r="Q60" s="115"/>
      <c r="R60" s="25"/>
    </row>
    <row r="61" spans="2:18">
      <c r="B61" s="21"/>
      <c r="C61" s="60" t="str">
        <f t="shared" si="0"/>
        <v/>
      </c>
      <c r="D61" s="125" t="str">
        <f t="shared" si="1"/>
        <v/>
      </c>
      <c r="E61" s="125"/>
      <c r="F61" s="125"/>
      <c r="G61" s="57" t="str">
        <f t="shared" si="2"/>
        <v/>
      </c>
      <c r="H61" s="118" t="str">
        <f t="shared" si="3"/>
        <v/>
      </c>
      <c r="I61" s="147"/>
      <c r="J61" s="147"/>
      <c r="K61" s="120" t="str">
        <f t="shared" si="4"/>
        <v/>
      </c>
      <c r="L61" s="148"/>
      <c r="M61" s="148"/>
      <c r="N61" s="15"/>
      <c r="O61" s="123"/>
      <c r="P61" s="114"/>
      <c r="Q61" s="115"/>
      <c r="R61" s="25"/>
    </row>
    <row r="62" spans="2:18">
      <c r="B62" s="21"/>
      <c r="C62" s="60" t="str">
        <f t="shared" si="0"/>
        <v/>
      </c>
      <c r="D62" s="125" t="str">
        <f t="shared" si="1"/>
        <v/>
      </c>
      <c r="E62" s="125"/>
      <c r="F62" s="125"/>
      <c r="G62" s="57" t="str">
        <f t="shared" si="2"/>
        <v/>
      </c>
      <c r="H62" s="118" t="str">
        <f t="shared" si="3"/>
        <v/>
      </c>
      <c r="I62" s="147"/>
      <c r="J62" s="147"/>
      <c r="K62" s="120" t="str">
        <f t="shared" si="4"/>
        <v/>
      </c>
      <c r="L62" s="148"/>
      <c r="M62" s="148"/>
      <c r="N62" s="15"/>
      <c r="O62" s="123"/>
      <c r="P62" s="114"/>
      <c r="Q62" s="115"/>
      <c r="R62" s="25"/>
    </row>
    <row r="63" spans="2:18">
      <c r="B63" s="21"/>
      <c r="C63" s="60" t="str">
        <f t="shared" si="0"/>
        <v/>
      </c>
      <c r="D63" s="125" t="str">
        <f t="shared" si="1"/>
        <v/>
      </c>
      <c r="E63" s="125"/>
      <c r="F63" s="125"/>
      <c r="G63" s="57" t="str">
        <f t="shared" si="2"/>
        <v/>
      </c>
      <c r="H63" s="118" t="str">
        <f t="shared" si="3"/>
        <v/>
      </c>
      <c r="I63" s="147"/>
      <c r="J63" s="147"/>
      <c r="K63" s="120" t="str">
        <f t="shared" si="4"/>
        <v/>
      </c>
      <c r="L63" s="148"/>
      <c r="M63" s="148"/>
      <c r="N63" s="15"/>
      <c r="O63" s="123"/>
      <c r="P63" s="114"/>
      <c r="Q63" s="115"/>
      <c r="R63" s="25"/>
    </row>
    <row r="64" spans="2:18">
      <c r="B64" s="21"/>
      <c r="C64" s="60" t="str">
        <f t="shared" si="0"/>
        <v/>
      </c>
      <c r="D64" s="125" t="str">
        <f t="shared" si="1"/>
        <v/>
      </c>
      <c r="E64" s="125"/>
      <c r="F64" s="125"/>
      <c r="G64" s="57" t="str">
        <f t="shared" si="2"/>
        <v/>
      </c>
      <c r="H64" s="118" t="str">
        <f t="shared" si="3"/>
        <v/>
      </c>
      <c r="I64" s="147"/>
      <c r="J64" s="147"/>
      <c r="K64" s="120" t="str">
        <f t="shared" si="4"/>
        <v/>
      </c>
      <c r="L64" s="148"/>
      <c r="M64" s="148"/>
      <c r="N64" s="15"/>
      <c r="O64" s="123"/>
      <c r="P64" s="46"/>
      <c r="Q64" s="46"/>
      <c r="R64" s="25"/>
    </row>
    <row r="65" spans="2:18">
      <c r="B65" s="21"/>
      <c r="C65" s="60" t="str">
        <f t="shared" si="0"/>
        <v/>
      </c>
      <c r="D65" s="125" t="str">
        <f t="shared" si="1"/>
        <v/>
      </c>
      <c r="E65" s="125"/>
      <c r="F65" s="125"/>
      <c r="G65" s="57" t="str">
        <f t="shared" si="2"/>
        <v/>
      </c>
      <c r="H65" s="118" t="str">
        <f t="shared" si="3"/>
        <v/>
      </c>
      <c r="I65" s="147"/>
      <c r="J65" s="147"/>
      <c r="K65" s="120" t="str">
        <f t="shared" si="4"/>
        <v/>
      </c>
      <c r="L65" s="148"/>
      <c r="M65" s="148"/>
      <c r="N65" s="15"/>
      <c r="O65" s="123"/>
      <c r="P65" s="46"/>
      <c r="Q65" s="46"/>
      <c r="R65" s="25"/>
    </row>
    <row r="66" spans="2:18">
      <c r="B66" s="21"/>
      <c r="C66" s="60" t="str">
        <f t="shared" si="0"/>
        <v/>
      </c>
      <c r="D66" s="125" t="str">
        <f t="shared" si="1"/>
        <v/>
      </c>
      <c r="E66" s="125"/>
      <c r="F66" s="125"/>
      <c r="G66" s="57" t="str">
        <f t="shared" si="2"/>
        <v/>
      </c>
      <c r="H66" s="118" t="str">
        <f t="shared" si="3"/>
        <v/>
      </c>
      <c r="I66" s="147"/>
      <c r="J66" s="147"/>
      <c r="K66" s="120" t="str">
        <f t="shared" si="4"/>
        <v/>
      </c>
      <c r="L66" s="148"/>
      <c r="M66" s="148"/>
      <c r="N66" s="15"/>
      <c r="O66" s="123"/>
      <c r="P66" s="113" t="s">
        <v>33</v>
      </c>
      <c r="Q66" s="115" t="s">
        <v>30</v>
      </c>
      <c r="R66" s="25"/>
    </row>
    <row r="67" spans="2:18">
      <c r="B67" s="21"/>
      <c r="C67" s="60" t="str">
        <f t="shared" si="0"/>
        <v/>
      </c>
      <c r="D67" s="125" t="str">
        <f t="shared" si="1"/>
        <v/>
      </c>
      <c r="E67" s="125"/>
      <c r="F67" s="125"/>
      <c r="G67" s="57" t="str">
        <f t="shared" si="2"/>
        <v/>
      </c>
      <c r="H67" s="118" t="str">
        <f t="shared" si="3"/>
        <v/>
      </c>
      <c r="I67" s="147"/>
      <c r="J67" s="147"/>
      <c r="K67" s="120" t="str">
        <f t="shared" si="4"/>
        <v/>
      </c>
      <c r="L67" s="148"/>
      <c r="M67" s="148"/>
      <c r="N67" s="15"/>
      <c r="O67" s="123"/>
      <c r="P67" s="113"/>
      <c r="Q67" s="115"/>
      <c r="R67" s="25"/>
    </row>
    <row r="68" spans="2:18">
      <c r="B68" s="21"/>
      <c r="C68" s="60" t="str">
        <f t="shared" si="0"/>
        <v/>
      </c>
      <c r="D68" s="125" t="str">
        <f t="shared" si="1"/>
        <v/>
      </c>
      <c r="E68" s="125"/>
      <c r="F68" s="125"/>
      <c r="G68" s="57" t="str">
        <f t="shared" si="2"/>
        <v/>
      </c>
      <c r="H68" s="118" t="str">
        <f t="shared" si="3"/>
        <v/>
      </c>
      <c r="I68" s="147"/>
      <c r="J68" s="147"/>
      <c r="K68" s="120" t="str">
        <f t="shared" si="4"/>
        <v/>
      </c>
      <c r="L68" s="148"/>
      <c r="M68" s="148"/>
      <c r="N68" s="15"/>
      <c r="O68" s="123"/>
      <c r="P68" s="113"/>
      <c r="Q68" s="115"/>
      <c r="R68" s="25"/>
    </row>
    <row r="69" spans="2:18">
      <c r="B69" s="21"/>
      <c r="C69" s="60" t="str">
        <f t="shared" si="0"/>
        <v/>
      </c>
      <c r="D69" s="125" t="str">
        <f t="shared" si="1"/>
        <v/>
      </c>
      <c r="E69" s="125"/>
      <c r="F69" s="125"/>
      <c r="G69" s="57" t="str">
        <f t="shared" si="2"/>
        <v/>
      </c>
      <c r="H69" s="118" t="str">
        <f t="shared" si="3"/>
        <v/>
      </c>
      <c r="I69" s="147"/>
      <c r="J69" s="147"/>
      <c r="K69" s="120" t="str">
        <f t="shared" si="4"/>
        <v/>
      </c>
      <c r="L69" s="148"/>
      <c r="M69" s="148"/>
      <c r="N69" s="15"/>
      <c r="O69" s="123"/>
      <c r="P69" s="113"/>
      <c r="Q69" s="115"/>
      <c r="R69" s="25"/>
    </row>
    <row r="70" spans="2:18">
      <c r="B70" s="21"/>
      <c r="C70" s="60" t="str">
        <f t="shared" si="0"/>
        <v/>
      </c>
      <c r="D70" s="125" t="str">
        <f t="shared" si="1"/>
        <v/>
      </c>
      <c r="E70" s="125"/>
      <c r="F70" s="125"/>
      <c r="G70" s="57" t="str">
        <f t="shared" si="2"/>
        <v/>
      </c>
      <c r="H70" s="118" t="str">
        <f t="shared" si="3"/>
        <v/>
      </c>
      <c r="I70" s="147"/>
      <c r="J70" s="147"/>
      <c r="K70" s="120" t="str">
        <f t="shared" si="4"/>
        <v/>
      </c>
      <c r="L70" s="148"/>
      <c r="M70" s="148"/>
      <c r="N70" s="15"/>
      <c r="O70" s="123"/>
      <c r="P70" s="113"/>
      <c r="Q70" s="115"/>
      <c r="R70" s="25"/>
    </row>
    <row r="71" spans="2:18" ht="2.1" customHeight="1">
      <c r="B71" s="21"/>
      <c r="C71" s="37"/>
      <c r="D71" s="135"/>
      <c r="E71" s="135"/>
      <c r="F71" s="135"/>
      <c r="G71" s="37"/>
      <c r="H71" s="119"/>
      <c r="I71" s="119"/>
      <c r="J71" s="119"/>
      <c r="K71" s="119"/>
      <c r="L71" s="119"/>
      <c r="M71" s="119"/>
      <c r="N71" s="15"/>
      <c r="O71" s="123"/>
      <c r="P71" s="113"/>
      <c r="Q71" s="115"/>
      <c r="R71" s="25"/>
    </row>
    <row r="72" spans="2:18">
      <c r="B72" s="21"/>
      <c r="C72" s="136"/>
      <c r="D72" s="136"/>
      <c r="E72" s="136"/>
      <c r="F72" s="136"/>
      <c r="G72" s="136"/>
      <c r="H72" s="131" t="s">
        <v>24</v>
      </c>
      <c r="I72" s="131"/>
      <c r="J72" s="131"/>
      <c r="K72" s="132" t="s">
        <v>4</v>
      </c>
      <c r="L72" s="132"/>
      <c r="M72" s="132"/>
      <c r="N72" s="15"/>
      <c r="O72" s="123"/>
      <c r="P72" s="113"/>
      <c r="Q72" s="115"/>
      <c r="R72" s="25"/>
    </row>
    <row r="73" spans="2:18">
      <c r="B73" s="21"/>
      <c r="C73" s="136"/>
      <c r="D73" s="136"/>
      <c r="E73" s="136"/>
      <c r="F73" s="136"/>
      <c r="G73" s="136"/>
      <c r="H73" s="133">
        <f>IF(H32="","",H32)</f>
        <v>0</v>
      </c>
      <c r="I73" s="133"/>
      <c r="J73" s="133"/>
      <c r="K73" s="134">
        <f>IF(K32="","",K32)</f>
        <v>0</v>
      </c>
      <c r="L73" s="134"/>
      <c r="M73" s="134"/>
      <c r="N73" s="15"/>
      <c r="O73" s="123"/>
      <c r="P73" s="113"/>
      <c r="Q73" s="115"/>
      <c r="R73" s="25"/>
    </row>
    <row r="74" spans="2:18" ht="2.1" customHeight="1">
      <c r="B74" s="21"/>
      <c r="C74" s="136"/>
      <c r="D74" s="136"/>
      <c r="E74" s="136"/>
      <c r="F74" s="136"/>
      <c r="G74" s="136"/>
      <c r="H74" s="141"/>
      <c r="I74" s="141"/>
      <c r="J74" s="141"/>
      <c r="K74" s="141"/>
      <c r="L74" s="141"/>
      <c r="M74" s="141"/>
      <c r="N74" s="15"/>
      <c r="O74" s="123"/>
      <c r="P74" s="113"/>
      <c r="Q74" s="115"/>
      <c r="R74" s="25"/>
    </row>
    <row r="75" spans="2:18">
      <c r="B75" s="21"/>
      <c r="C75" s="136"/>
      <c r="D75" s="136"/>
      <c r="E75" s="136"/>
      <c r="F75" s="136"/>
      <c r="G75" s="136"/>
      <c r="H75" s="137" t="s">
        <v>25</v>
      </c>
      <c r="I75" s="137"/>
      <c r="J75" s="137"/>
      <c r="K75" s="138">
        <f>IF(K34="","",K34)</f>
        <v>0</v>
      </c>
      <c r="L75" s="138"/>
      <c r="M75" s="138"/>
      <c r="N75" s="15"/>
      <c r="O75" s="123"/>
      <c r="P75" s="113"/>
      <c r="Q75" s="115"/>
      <c r="R75" s="25"/>
    </row>
    <row r="76" spans="2:18">
      <c r="B76" s="21"/>
      <c r="C76" s="136"/>
      <c r="D76" s="136"/>
      <c r="E76" s="136"/>
      <c r="F76" s="136"/>
      <c r="G76" s="136"/>
      <c r="H76" s="137"/>
      <c r="I76" s="137"/>
      <c r="J76" s="137"/>
      <c r="K76" s="138"/>
      <c r="L76" s="138"/>
      <c r="M76" s="138"/>
      <c r="N76" s="15"/>
      <c r="O76" s="123"/>
      <c r="P76" s="113"/>
      <c r="Q76" s="115"/>
      <c r="R76" s="25"/>
    </row>
    <row r="77" spans="2:18" ht="2.1" customHeight="1">
      <c r="B77" s="21"/>
      <c r="C77" s="38"/>
      <c r="D77" s="38"/>
      <c r="E77" s="38"/>
      <c r="F77" s="38"/>
      <c r="G77" s="38"/>
      <c r="H77" s="39"/>
      <c r="I77" s="39"/>
      <c r="J77" s="39"/>
      <c r="K77" s="40"/>
      <c r="L77" s="40"/>
      <c r="M77" s="40"/>
      <c r="N77" s="15"/>
      <c r="O77" s="123"/>
      <c r="P77" s="113"/>
      <c r="Q77" s="115"/>
      <c r="R77" s="25"/>
    </row>
    <row r="78" spans="2:18">
      <c r="B78" s="23"/>
      <c r="C78" s="130" t="s">
        <v>18</v>
      </c>
      <c r="D78" s="130"/>
      <c r="E78" s="9" t="s">
        <v>19</v>
      </c>
      <c r="F78" s="7" t="s">
        <v>20</v>
      </c>
      <c r="G78" s="130" t="s">
        <v>21</v>
      </c>
      <c r="H78" s="130"/>
      <c r="I78" s="139" t="s">
        <v>27</v>
      </c>
      <c r="J78" s="139"/>
      <c r="K78" s="139"/>
      <c r="L78" s="139" t="s">
        <v>26</v>
      </c>
      <c r="M78" s="139"/>
      <c r="N78" s="17"/>
      <c r="O78" s="123"/>
      <c r="P78" s="113"/>
      <c r="Q78" s="115"/>
      <c r="R78" s="27"/>
    </row>
    <row r="79" spans="2:18">
      <c r="B79" s="21"/>
      <c r="C79" s="150">
        <f>IF(C38="","",C38)</f>
        <v>2500</v>
      </c>
      <c r="D79" s="150"/>
      <c r="E79" s="58">
        <f>IF(E38="","",E38)</f>
        <v>2500</v>
      </c>
      <c r="F79" s="59">
        <f>IF(F38="","",F38)</f>
        <v>2500</v>
      </c>
      <c r="G79" s="150">
        <f>IF(G38="","",G38)</f>
        <v>200</v>
      </c>
      <c r="H79" s="150"/>
      <c r="I79" s="140">
        <f>IF(I38="","",I38)</f>
        <v>2225</v>
      </c>
      <c r="J79" s="140"/>
      <c r="K79" s="140"/>
      <c r="L79" s="143">
        <f>IF(L38="","",L38)</f>
        <v>2</v>
      </c>
      <c r="M79" s="143"/>
      <c r="N79" s="15"/>
      <c r="O79" s="123"/>
      <c r="P79" s="48"/>
      <c r="Q79" s="48"/>
      <c r="R79" s="25"/>
    </row>
    <row r="80" spans="2:18" ht="9" customHeight="1">
      <c r="B80" s="24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8"/>
    </row>
    <row r="81" s="30" customFormat="1"/>
    <row r="82" s="30" customFormat="1"/>
    <row r="83" s="30" customFormat="1"/>
    <row r="84" s="30" customFormat="1"/>
    <row r="85" s="30" customFormat="1"/>
    <row r="86" s="30" customFormat="1"/>
    <row r="87" s="30" customFormat="1"/>
    <row r="88" s="30" customFormat="1"/>
    <row r="89" s="30" customFormat="1"/>
    <row r="90" s="30" customFormat="1"/>
    <row r="91" s="30" customFormat="1"/>
    <row r="92" s="30" customFormat="1"/>
    <row r="93" s="30" customFormat="1"/>
    <row r="94" s="30" customFormat="1"/>
    <row r="95" s="30" customFormat="1"/>
  </sheetData>
  <mergeCells count="187">
    <mergeCell ref="B41:R41"/>
    <mergeCell ref="K75:M76"/>
    <mergeCell ref="C78:D78"/>
    <mergeCell ref="G78:H78"/>
    <mergeCell ref="I78:K78"/>
    <mergeCell ref="L78:M78"/>
    <mergeCell ref="H73:J73"/>
    <mergeCell ref="K73:M73"/>
    <mergeCell ref="H74:M74"/>
    <mergeCell ref="H75:J76"/>
    <mergeCell ref="D66:F66"/>
    <mergeCell ref="H66:J66"/>
    <mergeCell ref="K66:M66"/>
    <mergeCell ref="P66:P78"/>
    <mergeCell ref="Q66:Q78"/>
    <mergeCell ref="D67:F67"/>
    <mergeCell ref="H67:J67"/>
    <mergeCell ref="K67:M67"/>
    <mergeCell ref="D68:F68"/>
    <mergeCell ref="H68:J68"/>
    <mergeCell ref="K68:M68"/>
    <mergeCell ref="D69:F69"/>
    <mergeCell ref="H69:J69"/>
    <mergeCell ref="K69:M69"/>
    <mergeCell ref="C79:D79"/>
    <mergeCell ref="G79:H79"/>
    <mergeCell ref="I79:K79"/>
    <mergeCell ref="L79:M79"/>
    <mergeCell ref="D71:F71"/>
    <mergeCell ref="H71:J71"/>
    <mergeCell ref="K71:M71"/>
    <mergeCell ref="C72:G76"/>
    <mergeCell ref="H72:J72"/>
    <mergeCell ref="K72:M72"/>
    <mergeCell ref="D70:F70"/>
    <mergeCell ref="H70:J70"/>
    <mergeCell ref="K70:M70"/>
    <mergeCell ref="D63:F63"/>
    <mergeCell ref="H63:J63"/>
    <mergeCell ref="K63:M63"/>
    <mergeCell ref="D64:F64"/>
    <mergeCell ref="H64:J64"/>
    <mergeCell ref="K64:M64"/>
    <mergeCell ref="D65:F65"/>
    <mergeCell ref="H65:J65"/>
    <mergeCell ref="K65:M65"/>
    <mergeCell ref="Q46:Q63"/>
    <mergeCell ref="C47:M47"/>
    <mergeCell ref="D48:F48"/>
    <mergeCell ref="D49:F49"/>
    <mergeCell ref="G49:M49"/>
    <mergeCell ref="C50:M50"/>
    <mergeCell ref="D51:F51"/>
    <mergeCell ref="H51:J51"/>
    <mergeCell ref="K51:M51"/>
    <mergeCell ref="D52:F52"/>
    <mergeCell ref="K53:M53"/>
    <mergeCell ref="D54:F54"/>
    <mergeCell ref="H54:J54"/>
    <mergeCell ref="K54:M54"/>
    <mergeCell ref="D55:F55"/>
    <mergeCell ref="H55:J55"/>
    <mergeCell ref="K55:M55"/>
    <mergeCell ref="D56:F56"/>
    <mergeCell ref="H56:J56"/>
    <mergeCell ref="K56:M56"/>
    <mergeCell ref="D57:F57"/>
    <mergeCell ref="H57:J57"/>
    <mergeCell ref="K57:M57"/>
    <mergeCell ref="D58:F58"/>
    <mergeCell ref="C44:F45"/>
    <mergeCell ref="G44:M45"/>
    <mergeCell ref="O44:O79"/>
    <mergeCell ref="P45:P63"/>
    <mergeCell ref="C46:F46"/>
    <mergeCell ref="G46:M46"/>
    <mergeCell ref="H52:J52"/>
    <mergeCell ref="K52:M52"/>
    <mergeCell ref="D53:F53"/>
    <mergeCell ref="H53:J53"/>
    <mergeCell ref="H58:J58"/>
    <mergeCell ref="K58:M58"/>
    <mergeCell ref="D59:F59"/>
    <mergeCell ref="H59:J59"/>
    <mergeCell ref="K59:M59"/>
    <mergeCell ref="D60:F60"/>
    <mergeCell ref="H60:J60"/>
    <mergeCell ref="K60:M60"/>
    <mergeCell ref="D61:F61"/>
    <mergeCell ref="H61:J61"/>
    <mergeCell ref="K61:M61"/>
    <mergeCell ref="D62:F62"/>
    <mergeCell ref="H62:J62"/>
    <mergeCell ref="K62:M62"/>
    <mergeCell ref="I37:K37"/>
    <mergeCell ref="I38:K38"/>
    <mergeCell ref="H33:M33"/>
    <mergeCell ref="C37:D37"/>
    <mergeCell ref="C38:D38"/>
    <mergeCell ref="G37:H37"/>
    <mergeCell ref="L37:M37"/>
    <mergeCell ref="L38:M38"/>
    <mergeCell ref="G38:H38"/>
    <mergeCell ref="H31:J31"/>
    <mergeCell ref="K31:M31"/>
    <mergeCell ref="H32:J32"/>
    <mergeCell ref="K32:M32"/>
    <mergeCell ref="K15:M15"/>
    <mergeCell ref="K16:M16"/>
    <mergeCell ref="K17:M17"/>
    <mergeCell ref="H12:J12"/>
    <mergeCell ref="D30:F30"/>
    <mergeCell ref="C31:G35"/>
    <mergeCell ref="H34:J35"/>
    <mergeCell ref="K34:M35"/>
    <mergeCell ref="K30:M30"/>
    <mergeCell ref="D26:F26"/>
    <mergeCell ref="D27:F27"/>
    <mergeCell ref="D28:F28"/>
    <mergeCell ref="D17:F17"/>
    <mergeCell ref="D18:F18"/>
    <mergeCell ref="D19:F19"/>
    <mergeCell ref="D20:F20"/>
    <mergeCell ref="D21:F21"/>
    <mergeCell ref="K12:M12"/>
    <mergeCell ref="K13:M13"/>
    <mergeCell ref="K14:M14"/>
    <mergeCell ref="C9:M9"/>
    <mergeCell ref="D12:F12"/>
    <mergeCell ref="C5:F5"/>
    <mergeCell ref="H19:J19"/>
    <mergeCell ref="K22:M22"/>
    <mergeCell ref="D10:F10"/>
    <mergeCell ref="D7:F7"/>
    <mergeCell ref="H20:J20"/>
    <mergeCell ref="H21:J21"/>
    <mergeCell ref="H22:J22"/>
    <mergeCell ref="H13:J13"/>
    <mergeCell ref="H14:J14"/>
    <mergeCell ref="H10:J10"/>
    <mergeCell ref="K10:M10"/>
    <mergeCell ref="K18:M18"/>
    <mergeCell ref="K19:M19"/>
    <mergeCell ref="K20:M20"/>
    <mergeCell ref="K21:M21"/>
    <mergeCell ref="D13:F13"/>
    <mergeCell ref="D14:F14"/>
    <mergeCell ref="D15:F15"/>
    <mergeCell ref="D16:F16"/>
    <mergeCell ref="H29:J29"/>
    <mergeCell ref="K29:M29"/>
    <mergeCell ref="D11:F11"/>
    <mergeCell ref="H11:J11"/>
    <mergeCell ref="K11:M11"/>
    <mergeCell ref="H26:J26"/>
    <mergeCell ref="H27:J27"/>
    <mergeCell ref="H23:J23"/>
    <mergeCell ref="D23:F23"/>
    <mergeCell ref="D22:F22"/>
    <mergeCell ref="D24:F24"/>
    <mergeCell ref="D25:F25"/>
    <mergeCell ref="K23:M23"/>
    <mergeCell ref="K28:M28"/>
    <mergeCell ref="P25:P37"/>
    <mergeCell ref="P4:P22"/>
    <mergeCell ref="Q5:Q22"/>
    <mergeCell ref="Q25:Q37"/>
    <mergeCell ref="G5:M5"/>
    <mergeCell ref="G3:M4"/>
    <mergeCell ref="H28:J28"/>
    <mergeCell ref="H30:J30"/>
    <mergeCell ref="H24:J24"/>
    <mergeCell ref="H25:J25"/>
    <mergeCell ref="H15:J15"/>
    <mergeCell ref="H16:J16"/>
    <mergeCell ref="H17:J17"/>
    <mergeCell ref="H18:J18"/>
    <mergeCell ref="K24:M24"/>
    <mergeCell ref="K25:M25"/>
    <mergeCell ref="K26:M26"/>
    <mergeCell ref="K27:M27"/>
    <mergeCell ref="C6:M6"/>
    <mergeCell ref="D8:F8"/>
    <mergeCell ref="G8:M8"/>
    <mergeCell ref="O3:O38"/>
    <mergeCell ref="C3:F4"/>
    <mergeCell ref="D29:F29"/>
  </mergeCells>
  <dataValidations count="1">
    <dataValidation type="list" allowBlank="1" showInputMessage="1" showErrorMessage="1" sqref="C8" xr:uid="{00000000-0002-0000-0100-000000000000}">
      <formula1>Matriculas</formula1>
    </dataValidation>
  </dataValidations>
  <printOptions horizontalCentered="1"/>
  <pageMargins left="0.19685039370078741" right="0.19685039370078741" top="0.19685039370078741" bottom="0.19685039370078741" header="0.11811023622047245" footer="0.11811023622047245"/>
  <pageSetup paperSize="9" orientation="portrait" horizontalDpi="4294967294" verticalDpi="4294967294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W319"/>
  <sheetViews>
    <sheetView tabSelected="1" topLeftCell="A44" zoomScaleNormal="100" workbookViewId="0">
      <selection activeCell="H56" sqref="H56:J56"/>
    </sheetView>
  </sheetViews>
  <sheetFormatPr defaultRowHeight="12.75"/>
  <cols>
    <col min="1" max="1" width="30.140625" style="30" customWidth="1"/>
    <col min="2" max="2" width="1.85546875" style="1" customWidth="1"/>
    <col min="3" max="3" width="5.7109375" style="1" customWidth="1"/>
    <col min="4" max="4" width="11.85546875" style="1" customWidth="1"/>
    <col min="5" max="5" width="13" style="1" customWidth="1"/>
    <col min="6" max="6" width="14.42578125" style="1" bestFit="1" customWidth="1"/>
    <col min="7" max="7" width="9.7109375" style="1" customWidth="1"/>
    <col min="8" max="10" width="5.140625" style="1" customWidth="1"/>
    <col min="11" max="13" width="4.85546875" style="1" customWidth="1"/>
    <col min="14" max="14" width="1.42578125" style="1" customWidth="1"/>
    <col min="15" max="15" width="3.42578125" style="1" customWidth="1"/>
    <col min="16" max="16" width="7.85546875" style="1" customWidth="1"/>
    <col min="17" max="17" width="2.140625" style="1" customWidth="1"/>
    <col min="18" max="18" width="1.85546875" style="1" customWidth="1"/>
    <col min="19" max="23" width="9.140625" style="30"/>
    <col min="24" max="16384" width="9.140625" style="1"/>
  </cols>
  <sheetData>
    <row r="1" spans="1:23" s="30" customFormat="1"/>
    <row r="2" spans="1:23" ht="9" customHeight="1">
      <c r="B2" s="18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</row>
    <row r="3" spans="1:23" ht="18" customHeight="1">
      <c r="B3" s="21"/>
      <c r="C3" s="242" t="s">
        <v>45</v>
      </c>
      <c r="D3" s="243"/>
      <c r="E3" s="243"/>
      <c r="F3" s="243"/>
      <c r="G3" s="208" t="s">
        <v>5</v>
      </c>
      <c r="H3" s="208"/>
      <c r="I3" s="208"/>
      <c r="J3" s="208"/>
      <c r="K3" s="208"/>
      <c r="L3" s="208"/>
      <c r="M3" s="209"/>
      <c r="N3" s="15"/>
      <c r="O3" s="212" t="s">
        <v>29</v>
      </c>
      <c r="P3" s="64"/>
      <c r="Q3" s="65"/>
      <c r="R3" s="25"/>
    </row>
    <row r="4" spans="1:23" ht="5.25" customHeight="1">
      <c r="B4" s="21"/>
      <c r="C4" s="244"/>
      <c r="D4" s="245"/>
      <c r="E4" s="245"/>
      <c r="F4" s="245"/>
      <c r="G4" s="210"/>
      <c r="H4" s="210"/>
      <c r="I4" s="210"/>
      <c r="J4" s="210"/>
      <c r="K4" s="210"/>
      <c r="L4" s="210"/>
      <c r="M4" s="211"/>
      <c r="N4" s="15"/>
      <c r="O4" s="213"/>
      <c r="P4" s="215" t="s">
        <v>32</v>
      </c>
      <c r="Q4" s="66"/>
      <c r="R4" s="25"/>
    </row>
    <row r="5" spans="1:23" ht="10.5" customHeight="1">
      <c r="B5" s="21"/>
      <c r="C5" s="246" t="s">
        <v>46</v>
      </c>
      <c r="D5" s="247"/>
      <c r="E5" s="247"/>
      <c r="F5" s="247"/>
      <c r="G5" s="218" t="s">
        <v>57</v>
      </c>
      <c r="H5" s="218"/>
      <c r="I5" s="218"/>
      <c r="J5" s="218"/>
      <c r="K5" s="218"/>
      <c r="L5" s="218"/>
      <c r="M5" s="219"/>
      <c r="N5" s="15"/>
      <c r="O5" s="213"/>
      <c r="P5" s="215"/>
      <c r="Q5" s="168" t="s">
        <v>31</v>
      </c>
      <c r="R5" s="25"/>
    </row>
    <row r="6" spans="1:23" ht="2.1" customHeight="1">
      <c r="B6" s="21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5"/>
      <c r="O6" s="213"/>
      <c r="P6" s="215"/>
      <c r="Q6" s="168"/>
      <c r="R6" s="25"/>
    </row>
    <row r="7" spans="1:23" s="3" customFormat="1" ht="11.25" customHeight="1">
      <c r="A7" s="31"/>
      <c r="B7" s="22"/>
      <c r="C7" s="49" t="s">
        <v>9</v>
      </c>
      <c r="D7" s="159" t="s">
        <v>10</v>
      </c>
      <c r="E7" s="159"/>
      <c r="F7" s="159"/>
      <c r="G7" s="50" t="s">
        <v>11</v>
      </c>
      <c r="H7" s="51" t="s">
        <v>12</v>
      </c>
      <c r="I7" s="51" t="s">
        <v>13</v>
      </c>
      <c r="J7" s="51" t="s">
        <v>14</v>
      </c>
      <c r="K7" s="55" t="s">
        <v>15</v>
      </c>
      <c r="L7" s="52" t="s">
        <v>16</v>
      </c>
      <c r="M7" s="56" t="s">
        <v>17</v>
      </c>
      <c r="N7" s="16"/>
      <c r="O7" s="213"/>
      <c r="P7" s="215"/>
      <c r="Q7" s="168"/>
      <c r="R7" s="26"/>
      <c r="S7" s="31"/>
      <c r="T7" s="31"/>
      <c r="U7" s="31"/>
      <c r="V7" s="31"/>
      <c r="W7" s="31"/>
    </row>
    <row r="8" spans="1:23" ht="11.25" customHeight="1">
      <c r="B8" s="21"/>
      <c r="C8" s="34">
        <v>1</v>
      </c>
      <c r="D8" s="220" t="str">
        <f>IFERROR(VLOOKUP(C8,'Base de Dados'!C:D,2,0),"")</f>
        <v>ANA PAULA PIRES DE CARVALHO</v>
      </c>
      <c r="E8" s="220"/>
      <c r="F8" s="220"/>
      <c r="G8" s="220" t="str">
        <f>IFERROR(VLOOKUP(C8,'Base de Dados'!C:E,3,0),"")</f>
        <v>RECEPCIONISTA</v>
      </c>
      <c r="H8" s="220"/>
      <c r="I8" s="220"/>
      <c r="J8" s="220"/>
      <c r="K8" s="220"/>
      <c r="L8" s="220"/>
      <c r="M8" s="248"/>
      <c r="N8" s="15"/>
      <c r="O8" s="213"/>
      <c r="P8" s="215"/>
      <c r="Q8" s="168"/>
      <c r="R8" s="25"/>
    </row>
    <row r="9" spans="1:23" ht="9" customHeight="1">
      <c r="B9" s="21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5"/>
      <c r="O9" s="213"/>
      <c r="P9" s="215"/>
      <c r="Q9" s="168"/>
      <c r="R9" s="25"/>
    </row>
    <row r="10" spans="1:23" ht="11.25" customHeight="1">
      <c r="B10" s="21"/>
      <c r="C10" s="53" t="s">
        <v>22</v>
      </c>
      <c r="D10" s="223" t="s">
        <v>1</v>
      </c>
      <c r="E10" s="223"/>
      <c r="F10" s="223"/>
      <c r="G10" s="53" t="s">
        <v>23</v>
      </c>
      <c r="H10" s="223" t="s">
        <v>2</v>
      </c>
      <c r="I10" s="223"/>
      <c r="J10" s="223"/>
      <c r="K10" s="223" t="s">
        <v>3</v>
      </c>
      <c r="L10" s="223"/>
      <c r="M10" s="223"/>
      <c r="N10" s="15"/>
      <c r="O10" s="213"/>
      <c r="P10" s="215"/>
      <c r="Q10" s="168"/>
      <c r="R10" s="25"/>
    </row>
    <row r="11" spans="1:23" ht="2.1" customHeight="1">
      <c r="B11" s="21"/>
      <c r="C11" s="36"/>
      <c r="D11" s="126"/>
      <c r="E11" s="126"/>
      <c r="F11" s="126"/>
      <c r="G11" s="36"/>
      <c r="H11" s="126"/>
      <c r="I11" s="126"/>
      <c r="J11" s="126"/>
      <c r="K11" s="126"/>
      <c r="L11" s="126"/>
      <c r="M11" s="126"/>
      <c r="N11" s="15"/>
      <c r="O11" s="213"/>
      <c r="P11" s="215"/>
      <c r="Q11" s="168"/>
      <c r="R11" s="25"/>
    </row>
    <row r="12" spans="1:23" ht="11.25" customHeight="1">
      <c r="B12" s="88">
        <v>1</v>
      </c>
      <c r="C12" s="61">
        <f>IFERROR(VLOOKUP(B12&amp;"-"&amp;$C$8,'Base de Dados'!B:F,5,0),"")</f>
        <v>101</v>
      </c>
      <c r="D12" s="249" t="str">
        <f>IFERROR(VLOOKUP(C12,Configuração!A:B,2,0),"")</f>
        <v>SALARIO</v>
      </c>
      <c r="E12" s="249"/>
      <c r="F12" s="255"/>
      <c r="G12" s="90" t="str">
        <f>IFERROR(VLOOKUP(B12&amp;"-"&amp;$C$8,'Base de Dados'!B:H,7,0),"")</f>
        <v>30 d</v>
      </c>
      <c r="H12" s="241">
        <f>IFERROR(IF(VLOOKUP(B12&amp;"-"&amp;$C$8,'Base de Dados'!B:I,8,0)=0,"",VLOOKUP(B12&amp;"-"&amp;$C$8,'Base de Dados'!B:I,8,0)),"")</f>
        <v>660</v>
      </c>
      <c r="I12" s="251"/>
      <c r="J12" s="251"/>
      <c r="K12" s="227" t="str">
        <f>IFERROR(IF(VLOOKUP(B12&amp;"-"&amp;$C$8,'Base de Dados'!B:J,9,0)=0,"",VLOOKUP(B12&amp;"-"&amp;$C$8,'Base de Dados'!B:J,9,0)),"")</f>
        <v/>
      </c>
      <c r="L12" s="227"/>
      <c r="M12" s="227"/>
      <c r="N12" s="15"/>
      <c r="O12" s="213"/>
      <c r="P12" s="215"/>
      <c r="Q12" s="168"/>
      <c r="R12" s="25"/>
    </row>
    <row r="13" spans="1:23" ht="11.25" customHeight="1">
      <c r="B13" s="88">
        <v>2</v>
      </c>
      <c r="C13" s="62">
        <v>973</v>
      </c>
      <c r="D13" s="169" t="str">
        <f>IFERROR(VLOOKUP(C13,Configuração!A:B,2,0),"")</f>
        <v>INSS</v>
      </c>
      <c r="E13" s="169"/>
      <c r="F13" s="169"/>
      <c r="G13" s="91">
        <v>7.4999999999999997E-2</v>
      </c>
      <c r="H13" s="251"/>
      <c r="I13" s="251"/>
      <c r="J13" s="251"/>
      <c r="K13" s="170">
        <f>H12*7.5%</f>
        <v>49.5</v>
      </c>
      <c r="L13" s="170"/>
      <c r="M13" s="170"/>
      <c r="N13" s="15"/>
      <c r="O13" s="213"/>
      <c r="P13" s="215"/>
      <c r="Q13" s="168"/>
      <c r="R13" s="25"/>
    </row>
    <row r="14" spans="1:23" ht="11.25" customHeight="1">
      <c r="B14" s="88">
        <v>3</v>
      </c>
      <c r="C14" s="62">
        <v>150</v>
      </c>
      <c r="D14" s="169" t="str">
        <f>IFERROR(VLOOKUP(C14,Configuração!A:B,2,0),"")</f>
        <v>13º SALARIO ADIANTADO</v>
      </c>
      <c r="E14" s="169"/>
      <c r="F14" s="236"/>
      <c r="G14" s="109">
        <v>12</v>
      </c>
      <c r="H14" s="241">
        <v>330</v>
      </c>
      <c r="I14" s="251"/>
      <c r="J14" s="251"/>
      <c r="K14" s="170"/>
      <c r="L14" s="170"/>
      <c r="M14" s="170"/>
      <c r="N14" s="15"/>
      <c r="O14" s="213"/>
      <c r="P14" s="215"/>
      <c r="Q14" s="168"/>
      <c r="R14" s="25"/>
    </row>
    <row r="15" spans="1:23" ht="11.25" customHeight="1">
      <c r="B15" s="88">
        <v>4</v>
      </c>
      <c r="C15" s="62"/>
      <c r="D15" s="169" t="str">
        <f>IFERROR(VLOOKUP(C15,Configuração!A:B,2,0),"")</f>
        <v/>
      </c>
      <c r="E15" s="169"/>
      <c r="F15" s="236"/>
      <c r="G15" s="97"/>
      <c r="H15" s="241" t="str">
        <f>IFERROR(IF(VLOOKUP(B13&amp;"-"&amp;$C$8,'Base de Dados'!B:I,8,0)=0,"",VLOOKUP(B13&amp;"-"&amp;$C$8,'Base de Dados'!B:I,8,0)),"")</f>
        <v/>
      </c>
      <c r="I15" s="251"/>
      <c r="J15" s="251"/>
      <c r="K15" s="170"/>
      <c r="L15" s="170"/>
      <c r="M15" s="170"/>
      <c r="N15" s="15"/>
      <c r="O15" s="213"/>
      <c r="P15" s="215"/>
      <c r="Q15" s="168"/>
      <c r="R15" s="25"/>
    </row>
    <row r="16" spans="1:23" ht="11.25" customHeight="1">
      <c r="B16" s="88">
        <v>5</v>
      </c>
      <c r="C16" s="62"/>
      <c r="D16" s="169" t="str">
        <f>IFERROR(VLOOKUP(C16,Configuração!A:B,2,0),"")</f>
        <v/>
      </c>
      <c r="E16" s="169"/>
      <c r="F16" s="169"/>
      <c r="G16" s="97"/>
      <c r="H16" s="231" t="str">
        <f>IFERROR(IF(VLOOKUP(B16&amp;"-"&amp;$C$8,'Base de Dados'!B:I,8,0)=0,"",VLOOKUP(B16&amp;"-"&amp;$C$8,'Base de Dados'!B:I,8,0)),"")</f>
        <v/>
      </c>
      <c r="I16" s="231"/>
      <c r="J16" s="231"/>
      <c r="K16" s="172" t="str">
        <f>IFERROR(IF(VLOOKUP(B16&amp;"-"&amp;$C$8,'Base de Dados'!B:J,9,0)=0,"",VLOOKUP(B16&amp;"-"&amp;$C$8,'Base de Dados'!B:J,9,0)),"")</f>
        <v/>
      </c>
      <c r="L16" s="172"/>
      <c r="M16" s="172"/>
      <c r="N16" s="15"/>
      <c r="O16" s="213"/>
      <c r="P16" s="215"/>
      <c r="Q16" s="168"/>
      <c r="R16" s="25"/>
    </row>
    <row r="17" spans="2:18" ht="11.25" customHeight="1">
      <c r="B17" s="88">
        <v>6</v>
      </c>
      <c r="C17" s="62"/>
      <c r="D17" s="169"/>
      <c r="E17" s="169"/>
      <c r="F17" s="169"/>
      <c r="G17" s="97"/>
      <c r="H17" s="231"/>
      <c r="I17" s="231"/>
      <c r="J17" s="231"/>
      <c r="K17" s="172"/>
      <c r="L17" s="172"/>
      <c r="M17" s="172"/>
      <c r="N17" s="15"/>
      <c r="O17" s="213"/>
      <c r="P17" s="215"/>
      <c r="Q17" s="168"/>
      <c r="R17" s="25"/>
    </row>
    <row r="18" spans="2:18" ht="11.25" customHeight="1">
      <c r="B18" s="88">
        <v>7</v>
      </c>
      <c r="C18" s="62"/>
      <c r="D18" s="169"/>
      <c r="E18" s="169"/>
      <c r="F18" s="169"/>
      <c r="G18" s="97"/>
      <c r="H18" s="231"/>
      <c r="I18" s="231"/>
      <c r="J18" s="231"/>
      <c r="K18" s="172"/>
      <c r="L18" s="172"/>
      <c r="M18" s="172"/>
      <c r="N18" s="15"/>
      <c r="O18" s="213"/>
      <c r="P18" s="215"/>
      <c r="Q18" s="168"/>
      <c r="R18" s="25"/>
    </row>
    <row r="19" spans="2:18" ht="11.25" customHeight="1">
      <c r="B19" s="88">
        <v>8</v>
      </c>
      <c r="C19" s="62"/>
      <c r="D19" s="169"/>
      <c r="E19" s="169"/>
      <c r="F19" s="169"/>
      <c r="G19" s="97" t="str">
        <f>IFERROR(VLOOKUP(B18&amp;"-"&amp;$C$8,'Base de Dados'!B:H,7,0),"")</f>
        <v/>
      </c>
      <c r="H19" s="231"/>
      <c r="I19" s="231"/>
      <c r="J19" s="231"/>
      <c r="K19" s="172"/>
      <c r="L19" s="172"/>
      <c r="M19" s="172"/>
      <c r="N19" s="15"/>
      <c r="O19" s="213"/>
      <c r="P19" s="215"/>
      <c r="Q19" s="168"/>
      <c r="R19" s="25"/>
    </row>
    <row r="20" spans="2:18" ht="11.25" customHeight="1">
      <c r="B20" s="88">
        <v>9</v>
      </c>
      <c r="C20" s="62"/>
      <c r="D20" s="169"/>
      <c r="E20" s="169"/>
      <c r="F20" s="169"/>
      <c r="G20" s="97" t="str">
        <f>IFERROR(VLOOKUP(B19&amp;"-"&amp;$C$8,'Base de Dados'!B:H,7,0),"")</f>
        <v/>
      </c>
      <c r="H20" s="231"/>
      <c r="I20" s="231"/>
      <c r="J20" s="231"/>
      <c r="K20" s="172"/>
      <c r="L20" s="172"/>
      <c r="M20" s="172"/>
      <c r="N20" s="15"/>
      <c r="O20" s="213"/>
      <c r="P20" s="215"/>
      <c r="Q20" s="168"/>
      <c r="R20" s="25"/>
    </row>
    <row r="21" spans="2:18" ht="11.25" customHeight="1">
      <c r="B21" s="88">
        <v>10</v>
      </c>
      <c r="C21" s="62"/>
      <c r="D21" s="169"/>
      <c r="E21" s="169"/>
      <c r="F21" s="169"/>
      <c r="G21" s="97" t="str">
        <f>IFERROR(VLOOKUP(B20&amp;"-"&amp;$C$8,'Base de Dados'!B:H,7,0),"")</f>
        <v/>
      </c>
      <c r="H21" s="231"/>
      <c r="I21" s="231"/>
      <c r="J21" s="231"/>
      <c r="K21" s="172"/>
      <c r="L21" s="172"/>
      <c r="M21" s="172"/>
      <c r="N21" s="15"/>
      <c r="O21" s="213"/>
      <c r="P21" s="215"/>
      <c r="Q21" s="168"/>
      <c r="R21" s="25"/>
    </row>
    <row r="22" spans="2:18" ht="11.25" customHeight="1">
      <c r="B22" s="88">
        <v>11</v>
      </c>
      <c r="C22" s="62"/>
      <c r="D22" s="169"/>
      <c r="E22" s="169"/>
      <c r="F22" s="169"/>
      <c r="G22" s="97" t="str">
        <f>IFERROR(VLOOKUP(B21&amp;"-"&amp;$C$8,'Base de Dados'!B:H,7,0),"")</f>
        <v/>
      </c>
      <c r="H22" s="231"/>
      <c r="I22" s="231"/>
      <c r="J22" s="231"/>
      <c r="K22" s="172"/>
      <c r="L22" s="172"/>
      <c r="M22" s="172"/>
      <c r="N22" s="15"/>
      <c r="O22" s="213"/>
      <c r="P22" s="215"/>
      <c r="Q22" s="168"/>
      <c r="R22" s="25"/>
    </row>
    <row r="23" spans="2:18" ht="11.25" customHeight="1">
      <c r="B23" s="88">
        <v>12</v>
      </c>
      <c r="C23" s="62" t="str">
        <f>IFERROR(VLOOKUP(B23&amp;"-"&amp;$C$8,'Base de Dados'!B:F,5,0),"")</f>
        <v/>
      </c>
      <c r="D23" s="169" t="str">
        <f>IFERROR(VLOOKUP(C23,Configuração!A:B,2,0),"")</f>
        <v/>
      </c>
      <c r="E23" s="169"/>
      <c r="F23" s="169"/>
      <c r="G23" s="97" t="str">
        <f>IFERROR(VLOOKUP(B22&amp;"-"&amp;$C$8,'Base de Dados'!B:H,7,0),"")</f>
        <v/>
      </c>
      <c r="H23" s="231" t="str">
        <f>IFERROR(IF(VLOOKUP(B23&amp;"-"&amp;$C$8,'Base de Dados'!B:I,8,0)=0,"",VLOOKUP(B23&amp;"-"&amp;$C$8,'Base de Dados'!B:I,8,0)),"")</f>
        <v/>
      </c>
      <c r="I23" s="231"/>
      <c r="J23" s="231"/>
      <c r="K23" s="172" t="str">
        <f>IFERROR(IF(VLOOKUP(B23&amp;"-"&amp;$C$8,'Base de Dados'!B:J,9,0)=0,"",VLOOKUP(B23&amp;"-"&amp;$C$8,'Base de Dados'!B:J,9,0)),"")</f>
        <v/>
      </c>
      <c r="L23" s="172"/>
      <c r="M23" s="172"/>
      <c r="N23" s="15"/>
      <c r="O23" s="213"/>
      <c r="P23" s="67"/>
      <c r="Q23" s="68"/>
      <c r="R23" s="25"/>
    </row>
    <row r="24" spans="2:18" ht="11.25" customHeight="1">
      <c r="B24" s="88">
        <v>13</v>
      </c>
      <c r="C24" s="62" t="str">
        <f>IFERROR(VLOOKUP(B24&amp;"-"&amp;$C$8,'Base de Dados'!B:F,5,0),"")</f>
        <v/>
      </c>
      <c r="D24" s="169" t="str">
        <f>IFERROR(VLOOKUP(C24,Configuração!A:B,2,0),"")</f>
        <v/>
      </c>
      <c r="E24" s="169"/>
      <c r="F24" s="169"/>
      <c r="G24" s="97" t="str">
        <f>IFERROR(VLOOKUP(B23&amp;"-"&amp;$C$8,'Base de Dados'!B:H,7,0),"")</f>
        <v/>
      </c>
      <c r="H24" s="231" t="str">
        <f>IFERROR(IF(VLOOKUP(B24&amp;"-"&amp;$C$8,'Base de Dados'!B:I,8,0)=0,"",VLOOKUP(B24&amp;"-"&amp;$C$8,'Base de Dados'!B:I,8,0)),"")</f>
        <v/>
      </c>
      <c r="I24" s="231"/>
      <c r="J24" s="231"/>
      <c r="K24" s="172" t="str">
        <f>IFERROR(IF(VLOOKUP(B24&amp;"-"&amp;$C$8,'Base de Dados'!B:J,9,0)=0,"",VLOOKUP(B24&amp;"-"&amp;$C$8,'Base de Dados'!B:J,9,0)),"")</f>
        <v/>
      </c>
      <c r="L24" s="172"/>
      <c r="M24" s="172"/>
      <c r="N24" s="15"/>
      <c r="O24" s="213"/>
      <c r="P24" s="67"/>
      <c r="Q24" s="68"/>
      <c r="R24" s="25"/>
    </row>
    <row r="25" spans="2:18" ht="11.25" customHeight="1">
      <c r="B25" s="88">
        <v>14</v>
      </c>
      <c r="C25" s="62" t="str">
        <f>IFERROR(VLOOKUP(B25&amp;"-"&amp;$C$8,'Base de Dados'!B:F,5,0),"")</f>
        <v/>
      </c>
      <c r="D25" s="169" t="str">
        <f>IFERROR(VLOOKUP(C25,Configuração!A:B,2,0),"")</f>
        <v/>
      </c>
      <c r="E25" s="169"/>
      <c r="F25" s="169"/>
      <c r="G25" s="97" t="str">
        <f>IFERROR(VLOOKUP(B24&amp;"-"&amp;$C$8,'Base de Dados'!B:H,7,0),"")</f>
        <v/>
      </c>
      <c r="H25" s="231" t="str">
        <f>IFERROR(IF(VLOOKUP(B25&amp;"-"&amp;$C$8,'Base de Dados'!B:I,8,0)=0,"",VLOOKUP(B25&amp;"-"&amp;$C$8,'Base de Dados'!B:I,8,0)),"")</f>
        <v/>
      </c>
      <c r="I25" s="231"/>
      <c r="J25" s="231"/>
      <c r="K25" s="172" t="str">
        <f>IFERROR(IF(VLOOKUP(B25&amp;"-"&amp;$C$8,'Base de Dados'!B:J,9,0)=0,"",VLOOKUP(B25&amp;"-"&amp;$C$8,'Base de Dados'!B:J,9,0)),"")</f>
        <v/>
      </c>
      <c r="L25" s="172"/>
      <c r="M25" s="172"/>
      <c r="N25" s="15"/>
      <c r="O25" s="213"/>
      <c r="P25" s="167" t="s">
        <v>33</v>
      </c>
      <c r="Q25" s="168" t="s">
        <v>30</v>
      </c>
      <c r="R25" s="25"/>
    </row>
    <row r="26" spans="2:18" ht="11.25" customHeight="1">
      <c r="B26" s="88">
        <v>15</v>
      </c>
      <c r="C26" s="62" t="str">
        <f>IFERROR(VLOOKUP(B26&amp;"-"&amp;$C$8,'Base de Dados'!B:F,5,0),"")</f>
        <v/>
      </c>
      <c r="D26" s="169" t="str">
        <f>IFERROR(VLOOKUP(C26,Configuração!A:B,2,0),"")</f>
        <v/>
      </c>
      <c r="E26" s="169"/>
      <c r="F26" s="169"/>
      <c r="G26" s="97" t="str">
        <f>IFERROR(VLOOKUP(B25&amp;"-"&amp;$C$8,'Base de Dados'!B:H,7,0),"")</f>
        <v/>
      </c>
      <c r="H26" s="231" t="str">
        <f>IFERROR(IF(VLOOKUP(B26&amp;"-"&amp;$C$8,'Base de Dados'!B:I,8,0)=0,"",VLOOKUP(B26&amp;"-"&amp;$C$8,'Base de Dados'!B:I,8,0)),"")</f>
        <v/>
      </c>
      <c r="I26" s="231"/>
      <c r="J26" s="231"/>
      <c r="K26" s="172" t="str">
        <f>IFERROR(IF(VLOOKUP(B26&amp;"-"&amp;$C$8,'Base de Dados'!B:J,9,0)=0,"",VLOOKUP(B26&amp;"-"&amp;$C$8,'Base de Dados'!B:J,9,0)),"")</f>
        <v/>
      </c>
      <c r="L26" s="172"/>
      <c r="M26" s="172"/>
      <c r="N26" s="15"/>
      <c r="O26" s="213"/>
      <c r="P26" s="167"/>
      <c r="Q26" s="168"/>
      <c r="R26" s="25"/>
    </row>
    <row r="27" spans="2:18" ht="11.25" customHeight="1">
      <c r="B27" s="88">
        <v>16</v>
      </c>
      <c r="C27" s="62" t="str">
        <f>IFERROR(VLOOKUP(B27&amp;"-"&amp;$C$8,'Base de Dados'!B:F,5,0),"")</f>
        <v/>
      </c>
      <c r="D27" s="169" t="str">
        <f>IFERROR(VLOOKUP(C27,Configuração!A:B,2,0),"")</f>
        <v/>
      </c>
      <c r="E27" s="169"/>
      <c r="F27" s="169"/>
      <c r="G27" s="97" t="str">
        <f>IFERROR(VLOOKUP(B26&amp;"-"&amp;$C$8,'Base de Dados'!B:H,7,0),"")</f>
        <v/>
      </c>
      <c r="H27" s="231" t="str">
        <f>IFERROR(IF(VLOOKUP(B27&amp;"-"&amp;$C$8,'Base de Dados'!B:I,8,0)=0,"",VLOOKUP(B27&amp;"-"&amp;$C$8,'Base de Dados'!B:I,8,0)),"")</f>
        <v/>
      </c>
      <c r="I27" s="231"/>
      <c r="J27" s="231"/>
      <c r="K27" s="172" t="str">
        <f>IFERROR(IF(VLOOKUP(B27&amp;"-"&amp;$C$8,'Base de Dados'!B:J,9,0)=0,"",VLOOKUP(B27&amp;"-"&amp;$C$8,'Base de Dados'!B:J,9,0)),"")</f>
        <v/>
      </c>
      <c r="L27" s="172"/>
      <c r="M27" s="172"/>
      <c r="N27" s="15"/>
      <c r="O27" s="213"/>
      <c r="P27" s="167"/>
      <c r="Q27" s="168"/>
      <c r="R27" s="25"/>
    </row>
    <row r="28" spans="2:18" ht="11.25" customHeight="1">
      <c r="B28" s="88">
        <v>17</v>
      </c>
      <c r="C28" s="62" t="str">
        <f>IFERROR(VLOOKUP(B28&amp;"-"&amp;$C$8,'Base de Dados'!B:F,5,0),"")</f>
        <v/>
      </c>
      <c r="D28" s="169" t="str">
        <f>IFERROR(VLOOKUP(C28,Configuração!A:B,2,0),"")</f>
        <v/>
      </c>
      <c r="E28" s="169"/>
      <c r="F28" s="169"/>
      <c r="G28" s="97" t="str">
        <f>IFERROR(VLOOKUP(B27&amp;"-"&amp;$C$8,'Base de Dados'!B:H,7,0),"")</f>
        <v/>
      </c>
      <c r="H28" s="231" t="str">
        <f>IFERROR(IF(VLOOKUP(B28&amp;"-"&amp;$C$8,'Base de Dados'!B:I,8,0)=0,"",VLOOKUP(B28&amp;"-"&amp;$C$8,'Base de Dados'!B:I,8,0)),"")</f>
        <v/>
      </c>
      <c r="I28" s="231"/>
      <c r="J28" s="231"/>
      <c r="K28" s="172" t="str">
        <f>IFERROR(IF(VLOOKUP(B28&amp;"-"&amp;$C$8,'Base de Dados'!B:J,9,0)=0,"",VLOOKUP(B28&amp;"-"&amp;$C$8,'Base de Dados'!B:J,9,0)),"")</f>
        <v/>
      </c>
      <c r="L28" s="172"/>
      <c r="M28" s="172"/>
      <c r="N28" s="15"/>
      <c r="O28" s="213"/>
      <c r="P28" s="167"/>
      <c r="Q28" s="168"/>
      <c r="R28" s="25"/>
    </row>
    <row r="29" spans="2:18" ht="11.25" customHeight="1">
      <c r="B29" s="88">
        <v>18</v>
      </c>
      <c r="C29" s="63" t="str">
        <f>IFERROR(VLOOKUP(B29&amp;"-"&amp;$C$8,'Base de Dados'!B:F,5,0),"")</f>
        <v/>
      </c>
      <c r="D29" s="232" t="str">
        <f>IFERROR(VLOOKUP(C29,Configuração!A:B,2,0),"")</f>
        <v/>
      </c>
      <c r="E29" s="232"/>
      <c r="F29" s="232"/>
      <c r="G29" s="97" t="str">
        <f>IFERROR(VLOOKUP(B28&amp;"-"&amp;$C$8,'Base de Dados'!B:H,7,0),"")</f>
        <v/>
      </c>
      <c r="H29" s="233" t="str">
        <f>IFERROR(IF(VLOOKUP(B29&amp;"-"&amp;$C$8,'Base de Dados'!B:I,8,0)=0,"",VLOOKUP(B29&amp;"-"&amp;$C$8,'Base de Dados'!B:I,8,0)),"")</f>
        <v/>
      </c>
      <c r="I29" s="233"/>
      <c r="J29" s="233"/>
      <c r="K29" s="177" t="str">
        <f>IFERROR(IF(VLOOKUP(B29&amp;"-"&amp;$C$8,'Base de Dados'!B:J,9,0)=0,"",VLOOKUP(B29&amp;"-"&amp;$C$8,'Base de Dados'!B:J,9,0)),"")</f>
        <v/>
      </c>
      <c r="L29" s="177"/>
      <c r="M29" s="177"/>
      <c r="N29" s="15"/>
      <c r="O29" s="213"/>
      <c r="P29" s="167"/>
      <c r="Q29" s="168"/>
      <c r="R29" s="25"/>
    </row>
    <row r="30" spans="2:18" ht="2.1" customHeight="1">
      <c r="B30" s="21"/>
      <c r="C30" s="37"/>
      <c r="D30" s="135"/>
      <c r="E30" s="135"/>
      <c r="F30" s="135"/>
      <c r="G30" s="37"/>
      <c r="H30" s="119"/>
      <c r="I30" s="119"/>
      <c r="J30" s="119"/>
      <c r="K30" s="119"/>
      <c r="L30" s="119"/>
      <c r="M30" s="119"/>
      <c r="N30" s="15"/>
      <c r="O30" s="213"/>
      <c r="P30" s="167"/>
      <c r="Q30" s="168"/>
      <c r="R30" s="25"/>
    </row>
    <row r="31" spans="2:18" ht="9.75" customHeight="1">
      <c r="B31" s="21"/>
      <c r="C31" s="179"/>
      <c r="D31" s="180"/>
      <c r="E31" s="180"/>
      <c r="F31" s="180"/>
      <c r="G31" s="181"/>
      <c r="H31" s="189" t="s">
        <v>24</v>
      </c>
      <c r="I31" s="189"/>
      <c r="J31" s="190"/>
      <c r="K31" s="191" t="s">
        <v>4</v>
      </c>
      <c r="L31" s="192"/>
      <c r="M31" s="193"/>
      <c r="N31" s="15"/>
      <c r="O31" s="213"/>
      <c r="P31" s="167"/>
      <c r="Q31" s="168"/>
      <c r="R31" s="25"/>
    </row>
    <row r="32" spans="2:18" ht="11.25" customHeight="1">
      <c r="B32" s="21"/>
      <c r="C32" s="182"/>
      <c r="D32" s="183"/>
      <c r="E32" s="183"/>
      <c r="F32" s="183"/>
      <c r="G32" s="184"/>
      <c r="H32" s="195">
        <f>SUM(H12:J29)</f>
        <v>990</v>
      </c>
      <c r="I32" s="195"/>
      <c r="J32" s="196"/>
      <c r="K32" s="197">
        <f>SUM(K13:M29)</f>
        <v>49.5</v>
      </c>
      <c r="L32" s="198"/>
      <c r="M32" s="199"/>
      <c r="N32" s="15"/>
      <c r="O32" s="213"/>
      <c r="P32" s="167"/>
      <c r="Q32" s="168"/>
      <c r="R32" s="25"/>
    </row>
    <row r="33" spans="1:23" ht="2.1" customHeight="1">
      <c r="B33" s="21"/>
      <c r="C33" s="182"/>
      <c r="D33" s="183"/>
      <c r="E33" s="183"/>
      <c r="F33" s="183"/>
      <c r="G33" s="184"/>
      <c r="H33" s="141"/>
      <c r="I33" s="141"/>
      <c r="J33" s="141"/>
      <c r="K33" s="141"/>
      <c r="L33" s="141"/>
      <c r="M33" s="141"/>
      <c r="N33" s="15"/>
      <c r="O33" s="213"/>
      <c r="P33" s="167"/>
      <c r="Q33" s="168"/>
      <c r="R33" s="25"/>
    </row>
    <row r="34" spans="1:23" ht="9.1999999999999993" customHeight="1">
      <c r="B34" s="21"/>
      <c r="C34" s="182"/>
      <c r="D34" s="183"/>
      <c r="E34" s="183"/>
      <c r="F34" s="183"/>
      <c r="G34" s="184"/>
      <c r="H34" s="200" t="s">
        <v>25</v>
      </c>
      <c r="I34" s="201"/>
      <c r="J34" s="234"/>
      <c r="K34" s="152">
        <f>H32-K32</f>
        <v>940.5</v>
      </c>
      <c r="L34" s="153"/>
      <c r="M34" s="154"/>
      <c r="N34" s="15"/>
      <c r="O34" s="213"/>
      <c r="P34" s="167"/>
      <c r="Q34" s="168"/>
      <c r="R34" s="25"/>
    </row>
    <row r="35" spans="1:23" ht="12" customHeight="1">
      <c r="B35" s="21"/>
      <c r="C35" s="185"/>
      <c r="D35" s="186"/>
      <c r="E35" s="186"/>
      <c r="F35" s="186"/>
      <c r="G35" s="187"/>
      <c r="H35" s="202"/>
      <c r="I35" s="203"/>
      <c r="J35" s="235"/>
      <c r="K35" s="155"/>
      <c r="L35" s="156"/>
      <c r="M35" s="157"/>
      <c r="N35" s="15"/>
      <c r="O35" s="213"/>
      <c r="P35" s="167"/>
      <c r="Q35" s="168"/>
      <c r="R35" s="25"/>
    </row>
    <row r="36" spans="1:23" ht="2.1" customHeight="1">
      <c r="B36" s="21"/>
      <c r="C36" s="38"/>
      <c r="D36" s="38"/>
      <c r="E36" s="38"/>
      <c r="F36" s="38"/>
      <c r="G36" s="38"/>
      <c r="H36" s="39"/>
      <c r="I36" s="39"/>
      <c r="J36" s="39"/>
      <c r="K36" s="40"/>
      <c r="L36" s="40"/>
      <c r="M36" s="40"/>
      <c r="N36" s="15"/>
      <c r="O36" s="213"/>
      <c r="P36" s="167"/>
      <c r="Q36" s="168"/>
      <c r="R36" s="25"/>
    </row>
    <row r="37" spans="1:23" s="2" customFormat="1" ht="13.5" customHeight="1">
      <c r="A37" s="32"/>
      <c r="B37" s="23"/>
      <c r="C37" s="158" t="s">
        <v>18</v>
      </c>
      <c r="D37" s="159"/>
      <c r="E37" s="51" t="s">
        <v>19</v>
      </c>
      <c r="F37" s="54" t="s">
        <v>20</v>
      </c>
      <c r="G37" s="159" t="s">
        <v>21</v>
      </c>
      <c r="H37" s="159"/>
      <c r="I37" s="160" t="s">
        <v>27</v>
      </c>
      <c r="J37" s="160"/>
      <c r="K37" s="160"/>
      <c r="L37" s="160" t="s">
        <v>26</v>
      </c>
      <c r="M37" s="161"/>
      <c r="N37" s="17"/>
      <c r="O37" s="213"/>
      <c r="P37" s="167"/>
      <c r="Q37" s="168"/>
      <c r="R37" s="27"/>
      <c r="S37" s="32"/>
      <c r="T37" s="32"/>
      <c r="U37" s="32"/>
      <c r="V37" s="32"/>
      <c r="W37" s="32"/>
    </row>
    <row r="38" spans="1:23" ht="11.25" customHeight="1">
      <c r="B38" s="21"/>
      <c r="C38" s="229">
        <f>'Base de Dados'!I5</f>
        <v>660</v>
      </c>
      <c r="D38" s="230"/>
      <c r="E38" s="41">
        <f>'Base de Dados'!I5</f>
        <v>660</v>
      </c>
      <c r="F38" s="42">
        <f>'Base de Dados'!I5</f>
        <v>660</v>
      </c>
      <c r="G38" s="230">
        <f>F38*8%</f>
        <v>52.800000000000004</v>
      </c>
      <c r="H38" s="230"/>
      <c r="I38" s="164">
        <f>F38-K14</f>
        <v>660</v>
      </c>
      <c r="J38" s="164"/>
      <c r="K38" s="164"/>
      <c r="L38" s="165" t="s">
        <v>47</v>
      </c>
      <c r="M38" s="166"/>
      <c r="N38" s="15"/>
      <c r="O38" s="214"/>
      <c r="P38" s="69"/>
      <c r="Q38" s="70"/>
      <c r="R38" s="25"/>
    </row>
    <row r="39" spans="1:23" ht="9" customHeight="1">
      <c r="B39" s="24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8"/>
    </row>
    <row r="40" spans="1:23" s="30" customFormat="1" ht="3.95" customHeight="1"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</row>
    <row r="41" spans="1:23" s="45" customFormat="1" ht="33.75" customHeight="1">
      <c r="B41" s="151" t="s">
        <v>34</v>
      </c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</row>
    <row r="42" spans="1:23" s="30" customFormat="1" ht="3.95" customHeight="1"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</row>
    <row r="43" spans="1:23" s="30" customFormat="1" ht="9" customHeight="1"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20"/>
    </row>
    <row r="44" spans="1:23" s="30" customFormat="1" ht="12.75" customHeight="1">
      <c r="B44" s="21"/>
      <c r="C44" s="204" t="str">
        <f>IF(C3="","",C3)</f>
        <v>MAYARA SILVA DE SOUZA &amp; CIA LTDA</v>
      </c>
      <c r="D44" s="205"/>
      <c r="E44" s="205"/>
      <c r="F44" s="205"/>
      <c r="G44" s="208" t="s">
        <v>5</v>
      </c>
      <c r="H44" s="208"/>
      <c r="I44" s="208"/>
      <c r="J44" s="208"/>
      <c r="K44" s="208"/>
      <c r="L44" s="208"/>
      <c r="M44" s="209"/>
      <c r="N44" s="15"/>
      <c r="O44" s="212" t="s">
        <v>29</v>
      </c>
      <c r="P44" s="64"/>
      <c r="Q44" s="65"/>
      <c r="R44" s="25"/>
    </row>
    <row r="45" spans="1:23" s="30" customFormat="1" ht="5.25" customHeight="1">
      <c r="B45" s="21"/>
      <c r="C45" s="206"/>
      <c r="D45" s="207"/>
      <c r="E45" s="207"/>
      <c r="F45" s="207"/>
      <c r="G45" s="210"/>
      <c r="H45" s="210"/>
      <c r="I45" s="210"/>
      <c r="J45" s="210"/>
      <c r="K45" s="210"/>
      <c r="L45" s="210"/>
      <c r="M45" s="211"/>
      <c r="N45" s="15"/>
      <c r="O45" s="213"/>
      <c r="P45" s="215" t="s">
        <v>32</v>
      </c>
      <c r="Q45" s="66"/>
      <c r="R45" s="25"/>
    </row>
    <row r="46" spans="1:23" s="30" customFormat="1" ht="12.75" customHeight="1">
      <c r="B46" s="21"/>
      <c r="C46" s="216" t="str">
        <f>IF(C5="","",C5)</f>
        <v>CNPJ: 22.900.819/0001-48</v>
      </c>
      <c r="D46" s="217"/>
      <c r="E46" s="217"/>
      <c r="F46" s="217"/>
      <c r="G46" s="218" t="str">
        <f>IF(G5="","",G5)</f>
        <v>11/2023</v>
      </c>
      <c r="H46" s="218"/>
      <c r="I46" s="218"/>
      <c r="J46" s="218"/>
      <c r="K46" s="218"/>
      <c r="L46" s="218"/>
      <c r="M46" s="219"/>
      <c r="N46" s="15"/>
      <c r="O46" s="213"/>
      <c r="P46" s="215"/>
      <c r="Q46" s="168" t="s">
        <v>31</v>
      </c>
      <c r="R46" s="25"/>
    </row>
    <row r="47" spans="1:23" s="30" customFormat="1" ht="2.1" customHeight="1">
      <c r="B47" s="21"/>
      <c r="C47" s="183"/>
      <c r="D47" s="183"/>
      <c r="E47" s="183"/>
      <c r="F47" s="183"/>
      <c r="G47" s="183"/>
      <c r="H47" s="183"/>
      <c r="I47" s="183"/>
      <c r="J47" s="183"/>
      <c r="K47" s="183"/>
      <c r="L47" s="183"/>
      <c r="M47" s="183"/>
      <c r="N47" s="15"/>
      <c r="O47" s="213"/>
      <c r="P47" s="215"/>
      <c r="Q47" s="168"/>
      <c r="R47" s="25"/>
    </row>
    <row r="48" spans="1:23" s="30" customFormat="1">
      <c r="B48" s="22"/>
      <c r="C48" s="49" t="s">
        <v>9</v>
      </c>
      <c r="D48" s="159" t="s">
        <v>10</v>
      </c>
      <c r="E48" s="159"/>
      <c r="F48" s="159"/>
      <c r="G48" s="50" t="s">
        <v>11</v>
      </c>
      <c r="H48" s="51" t="s">
        <v>12</v>
      </c>
      <c r="I48" s="51" t="s">
        <v>13</v>
      </c>
      <c r="J48" s="51" t="s">
        <v>14</v>
      </c>
      <c r="K48" s="79" t="s">
        <v>15</v>
      </c>
      <c r="L48" s="52" t="s">
        <v>16</v>
      </c>
      <c r="M48" s="80" t="s">
        <v>17</v>
      </c>
      <c r="N48" s="16"/>
      <c r="O48" s="213"/>
      <c r="P48" s="215"/>
      <c r="Q48" s="168"/>
      <c r="R48" s="26"/>
    </row>
    <row r="49" spans="2:18" s="30" customFormat="1">
      <c r="B49" s="21"/>
      <c r="C49" s="34">
        <f>IF(C8="","",C8)</f>
        <v>1</v>
      </c>
      <c r="D49" s="220" t="str">
        <f>IF(D8="","",D8)</f>
        <v>ANA PAULA PIRES DE CARVALHO</v>
      </c>
      <c r="E49" s="220"/>
      <c r="F49" s="220"/>
      <c r="G49" s="221" t="str">
        <f>IF(G8="","",G8)</f>
        <v>RECEPCIONISTA</v>
      </c>
      <c r="H49" s="221"/>
      <c r="I49" s="221"/>
      <c r="J49" s="221"/>
      <c r="K49" s="221"/>
      <c r="L49" s="221"/>
      <c r="M49" s="222"/>
      <c r="N49" s="15"/>
      <c r="O49" s="213"/>
      <c r="P49" s="215"/>
      <c r="Q49" s="168"/>
      <c r="R49" s="25"/>
    </row>
    <row r="50" spans="2:18" s="30" customFormat="1" ht="9" customHeight="1">
      <c r="B50" s="21"/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5"/>
      <c r="O50" s="213"/>
      <c r="P50" s="215"/>
      <c r="Q50" s="168"/>
      <c r="R50" s="25"/>
    </row>
    <row r="51" spans="2:18" s="30" customFormat="1">
      <c r="B51" s="21"/>
      <c r="C51" s="77" t="s">
        <v>22</v>
      </c>
      <c r="D51" s="223" t="s">
        <v>1</v>
      </c>
      <c r="E51" s="223"/>
      <c r="F51" s="223"/>
      <c r="G51" s="77" t="s">
        <v>23</v>
      </c>
      <c r="H51" s="223" t="s">
        <v>2</v>
      </c>
      <c r="I51" s="223"/>
      <c r="J51" s="223"/>
      <c r="K51" s="223" t="s">
        <v>3</v>
      </c>
      <c r="L51" s="223"/>
      <c r="M51" s="223"/>
      <c r="N51" s="15"/>
      <c r="O51" s="213"/>
      <c r="P51" s="215"/>
      <c r="Q51" s="168"/>
      <c r="R51" s="25"/>
    </row>
    <row r="52" spans="2:18" s="30" customFormat="1" ht="2.1" customHeight="1">
      <c r="B52" s="21"/>
      <c r="C52" s="74"/>
      <c r="D52" s="126"/>
      <c r="E52" s="126"/>
      <c r="F52" s="126"/>
      <c r="G52" s="74"/>
      <c r="H52" s="126"/>
      <c r="I52" s="126"/>
      <c r="J52" s="126"/>
      <c r="K52" s="126"/>
      <c r="L52" s="126"/>
      <c r="M52" s="126"/>
      <c r="N52" s="15"/>
      <c r="O52" s="213"/>
      <c r="P52" s="215"/>
      <c r="Q52" s="168"/>
      <c r="R52" s="25"/>
    </row>
    <row r="53" spans="2:18" s="30" customFormat="1">
      <c r="B53" s="21"/>
      <c r="C53" s="61">
        <f>IF(C12="","",C12)</f>
        <v>101</v>
      </c>
      <c r="D53" s="224" t="str">
        <f>IF(D12="","",D12)</f>
        <v>SALARIO</v>
      </c>
      <c r="E53" s="224"/>
      <c r="F53" s="224"/>
      <c r="G53" s="71" t="str">
        <f>IF(G12="","",G12)</f>
        <v>30 d</v>
      </c>
      <c r="H53" s="225">
        <f>IF(H12="","",H12)</f>
        <v>660</v>
      </c>
      <c r="I53" s="226"/>
      <c r="J53" s="226"/>
      <c r="K53" s="227" t="str">
        <f>IF(K12="","",K12)</f>
        <v/>
      </c>
      <c r="L53" s="228"/>
      <c r="M53" s="228"/>
      <c r="N53" s="15"/>
      <c r="O53" s="213"/>
      <c r="P53" s="215"/>
      <c r="Q53" s="168"/>
      <c r="R53" s="25"/>
    </row>
    <row r="54" spans="2:18" s="30" customFormat="1">
      <c r="B54" s="21"/>
      <c r="C54" s="62">
        <f t="shared" ref="C54:D54" si="0">IF(C13="","",C13)</f>
        <v>973</v>
      </c>
      <c r="D54" s="169" t="str">
        <f t="shared" si="0"/>
        <v>INSS</v>
      </c>
      <c r="E54" s="169"/>
      <c r="F54" s="169"/>
      <c r="G54" s="256">
        <f>IF(G13="INSS","INSS",G13)</f>
        <v>7.4999999999999997E-2</v>
      </c>
      <c r="H54" s="170" t="str">
        <f t="shared" ref="G54:H55" si="1">IF(H13="","",H13)</f>
        <v/>
      </c>
      <c r="I54" s="171"/>
      <c r="J54" s="171"/>
      <c r="K54" s="172">
        <f>IF(K13="","",K13)</f>
        <v>49.5</v>
      </c>
      <c r="L54" s="173"/>
      <c r="M54" s="173"/>
      <c r="N54" s="15"/>
      <c r="O54" s="213"/>
      <c r="P54" s="215"/>
      <c r="Q54" s="168"/>
      <c r="R54" s="25"/>
    </row>
    <row r="55" spans="2:18" s="30" customFormat="1">
      <c r="B55" s="21"/>
      <c r="C55" s="62">
        <f t="shared" ref="C55:D55" si="2">IF(C14="","",C14)</f>
        <v>150</v>
      </c>
      <c r="D55" s="169" t="str">
        <f t="shared" si="2"/>
        <v>13º SALARIO ADIANTADO</v>
      </c>
      <c r="E55" s="169"/>
      <c r="F55" s="169"/>
      <c r="G55" s="109">
        <f t="shared" si="1"/>
        <v>12</v>
      </c>
      <c r="H55" s="170">
        <f>IF(H14="","",H14)</f>
        <v>330</v>
      </c>
      <c r="I55" s="171"/>
      <c r="J55" s="171"/>
      <c r="K55" s="172" t="str">
        <f>IF(K14="","",K14)</f>
        <v/>
      </c>
      <c r="L55" s="173"/>
      <c r="M55" s="173"/>
      <c r="N55" s="15"/>
      <c r="O55" s="213"/>
      <c r="P55" s="215"/>
      <c r="Q55" s="168"/>
      <c r="R55" s="25"/>
    </row>
    <row r="56" spans="2:18" s="30" customFormat="1">
      <c r="B56" s="21"/>
      <c r="C56" s="62" t="str">
        <f t="shared" ref="C56:D56" si="3">IF(C15="","",C15)</f>
        <v/>
      </c>
      <c r="D56" s="169" t="str">
        <f t="shared" si="3"/>
        <v/>
      </c>
      <c r="E56" s="169"/>
      <c r="F56" s="169"/>
      <c r="G56" s="72" t="str">
        <f t="shared" ref="G56" si="4">IF(G15="","",G15)</f>
        <v/>
      </c>
      <c r="H56" s="170" t="str">
        <f>IF(H15="","",H15)</f>
        <v/>
      </c>
      <c r="I56" s="171"/>
      <c r="J56" s="171"/>
      <c r="K56" s="172" t="str">
        <f>IF(K15="","",K15)</f>
        <v/>
      </c>
      <c r="L56" s="173"/>
      <c r="M56" s="173"/>
      <c r="N56" s="15"/>
      <c r="O56" s="213"/>
      <c r="P56" s="215"/>
      <c r="Q56" s="168"/>
      <c r="R56" s="25"/>
    </row>
    <row r="57" spans="2:18" s="30" customFormat="1">
      <c r="B57" s="21"/>
      <c r="C57" s="62" t="str">
        <f t="shared" ref="C57:D57" si="5">IF(C16="","",C16)</f>
        <v/>
      </c>
      <c r="D57" s="169" t="str">
        <f t="shared" si="5"/>
        <v/>
      </c>
      <c r="E57" s="169"/>
      <c r="F57" s="169"/>
      <c r="G57" s="72" t="str">
        <f t="shared" ref="G57:H57" si="6">IF(G16="","",G16)</f>
        <v/>
      </c>
      <c r="H57" s="170" t="str">
        <f t="shared" si="6"/>
        <v/>
      </c>
      <c r="I57" s="171"/>
      <c r="J57" s="171"/>
      <c r="K57" s="172" t="str">
        <f t="shared" ref="K57:K70" si="7">IF(K16="","",K16)</f>
        <v/>
      </c>
      <c r="L57" s="173"/>
      <c r="M57" s="173"/>
      <c r="N57" s="15"/>
      <c r="O57" s="213"/>
      <c r="P57" s="215"/>
      <c r="Q57" s="168"/>
      <c r="R57" s="25"/>
    </row>
    <row r="58" spans="2:18" s="30" customFormat="1">
      <c r="B58" s="21"/>
      <c r="C58" s="62" t="str">
        <f t="shared" ref="C58:D58" si="8">IF(C17="","",C17)</f>
        <v/>
      </c>
      <c r="D58" s="169" t="str">
        <f t="shared" si="8"/>
        <v/>
      </c>
      <c r="E58" s="169"/>
      <c r="F58" s="169"/>
      <c r="G58" s="72" t="str">
        <f t="shared" ref="G58:H58" si="9">IF(G17="","",G17)</f>
        <v/>
      </c>
      <c r="H58" s="170" t="str">
        <f t="shared" si="9"/>
        <v/>
      </c>
      <c r="I58" s="171"/>
      <c r="J58" s="171"/>
      <c r="K58" s="172" t="str">
        <f t="shared" si="7"/>
        <v/>
      </c>
      <c r="L58" s="173"/>
      <c r="M58" s="173"/>
      <c r="N58" s="15"/>
      <c r="O58" s="213"/>
      <c r="P58" s="215"/>
      <c r="Q58" s="168"/>
      <c r="R58" s="25"/>
    </row>
    <row r="59" spans="2:18" s="30" customFormat="1">
      <c r="B59" s="21"/>
      <c r="C59" s="62" t="str">
        <f t="shared" ref="C59:D59" si="10">IF(C18="","",C18)</f>
        <v/>
      </c>
      <c r="D59" s="169" t="str">
        <f t="shared" si="10"/>
        <v/>
      </c>
      <c r="E59" s="169"/>
      <c r="F59" s="169"/>
      <c r="G59" s="72" t="str">
        <f t="shared" ref="G59:H59" si="11">IF(G18="","",G18)</f>
        <v/>
      </c>
      <c r="H59" s="170" t="str">
        <f t="shared" si="11"/>
        <v/>
      </c>
      <c r="I59" s="171"/>
      <c r="J59" s="171"/>
      <c r="K59" s="172" t="str">
        <f t="shared" si="7"/>
        <v/>
      </c>
      <c r="L59" s="173"/>
      <c r="M59" s="173"/>
      <c r="N59" s="15"/>
      <c r="O59" s="213"/>
      <c r="P59" s="215"/>
      <c r="Q59" s="168"/>
      <c r="R59" s="25"/>
    </row>
    <row r="60" spans="2:18">
      <c r="B60" s="21"/>
      <c r="C60" s="62" t="str">
        <f t="shared" ref="C60:D60" si="12">IF(C19="","",C19)</f>
        <v/>
      </c>
      <c r="D60" s="169" t="str">
        <f t="shared" si="12"/>
        <v/>
      </c>
      <c r="E60" s="169"/>
      <c r="F60" s="169"/>
      <c r="G60" s="72" t="str">
        <f t="shared" ref="G60:H60" si="13">IF(G19="","",G19)</f>
        <v/>
      </c>
      <c r="H60" s="170" t="str">
        <f t="shared" si="13"/>
        <v/>
      </c>
      <c r="I60" s="171"/>
      <c r="J60" s="171"/>
      <c r="K60" s="172" t="str">
        <f t="shared" si="7"/>
        <v/>
      </c>
      <c r="L60" s="173"/>
      <c r="M60" s="173"/>
      <c r="N60" s="15"/>
      <c r="O60" s="213"/>
      <c r="P60" s="215"/>
      <c r="Q60" s="168"/>
      <c r="R60" s="25"/>
    </row>
    <row r="61" spans="2:18">
      <c r="B61" s="21"/>
      <c r="C61" s="62" t="str">
        <f t="shared" ref="C61:D61" si="14">IF(C20="","",C20)</f>
        <v/>
      </c>
      <c r="D61" s="169" t="str">
        <f t="shared" si="14"/>
        <v/>
      </c>
      <c r="E61" s="169"/>
      <c r="F61" s="169"/>
      <c r="G61" s="72" t="str">
        <f t="shared" ref="G61:H61" si="15">IF(G20="","",G20)</f>
        <v/>
      </c>
      <c r="H61" s="170" t="str">
        <f t="shared" si="15"/>
        <v/>
      </c>
      <c r="I61" s="171"/>
      <c r="J61" s="171"/>
      <c r="K61" s="172" t="str">
        <f t="shared" si="7"/>
        <v/>
      </c>
      <c r="L61" s="173"/>
      <c r="M61" s="173"/>
      <c r="N61" s="15"/>
      <c r="O61" s="213"/>
      <c r="P61" s="215"/>
      <c r="Q61" s="168"/>
      <c r="R61" s="25"/>
    </row>
    <row r="62" spans="2:18">
      <c r="B62" s="21"/>
      <c r="C62" s="62" t="str">
        <f t="shared" ref="C62:D62" si="16">IF(C21="","",C21)</f>
        <v/>
      </c>
      <c r="D62" s="169" t="str">
        <f t="shared" si="16"/>
        <v/>
      </c>
      <c r="E62" s="169"/>
      <c r="F62" s="169"/>
      <c r="G62" s="72" t="str">
        <f t="shared" ref="G62:H62" si="17">IF(G21="","",G21)</f>
        <v/>
      </c>
      <c r="H62" s="170" t="str">
        <f t="shared" si="17"/>
        <v/>
      </c>
      <c r="I62" s="171"/>
      <c r="J62" s="171"/>
      <c r="K62" s="172" t="str">
        <f t="shared" si="7"/>
        <v/>
      </c>
      <c r="L62" s="173"/>
      <c r="M62" s="173"/>
      <c r="N62" s="15"/>
      <c r="O62" s="213"/>
      <c r="P62" s="215"/>
      <c r="Q62" s="168"/>
      <c r="R62" s="25"/>
    </row>
    <row r="63" spans="2:18">
      <c r="B63" s="21"/>
      <c r="C63" s="62" t="str">
        <f t="shared" ref="C63:D63" si="18">IF(C22="","",C22)</f>
        <v/>
      </c>
      <c r="D63" s="169" t="str">
        <f t="shared" si="18"/>
        <v/>
      </c>
      <c r="E63" s="169"/>
      <c r="F63" s="169"/>
      <c r="G63" s="72" t="str">
        <f t="shared" ref="G63:H63" si="19">IF(G22="","",G22)</f>
        <v/>
      </c>
      <c r="H63" s="170" t="str">
        <f t="shared" si="19"/>
        <v/>
      </c>
      <c r="I63" s="171"/>
      <c r="J63" s="171"/>
      <c r="K63" s="172" t="str">
        <f t="shared" si="7"/>
        <v/>
      </c>
      <c r="L63" s="173"/>
      <c r="M63" s="173"/>
      <c r="N63" s="15"/>
      <c r="O63" s="213"/>
      <c r="P63" s="215"/>
      <c r="Q63" s="168"/>
      <c r="R63" s="25"/>
    </row>
    <row r="64" spans="2:18">
      <c r="B64" s="21"/>
      <c r="C64" s="62" t="str">
        <f t="shared" ref="C64:D64" si="20">IF(C23="","",C23)</f>
        <v/>
      </c>
      <c r="D64" s="169" t="str">
        <f t="shared" si="20"/>
        <v/>
      </c>
      <c r="E64" s="169"/>
      <c r="F64" s="169"/>
      <c r="G64" s="72" t="str">
        <f t="shared" ref="G64:H64" si="21">IF(G23="","",G23)</f>
        <v/>
      </c>
      <c r="H64" s="170" t="str">
        <f t="shared" si="21"/>
        <v/>
      </c>
      <c r="I64" s="171"/>
      <c r="J64" s="171"/>
      <c r="K64" s="172" t="str">
        <f t="shared" si="7"/>
        <v/>
      </c>
      <c r="L64" s="173"/>
      <c r="M64" s="173"/>
      <c r="N64" s="15"/>
      <c r="O64" s="213"/>
      <c r="P64" s="67"/>
      <c r="Q64" s="68"/>
      <c r="R64" s="25"/>
    </row>
    <row r="65" spans="2:18">
      <c r="B65" s="21"/>
      <c r="C65" s="62" t="str">
        <f t="shared" ref="C65:D65" si="22">IF(C24="","",C24)</f>
        <v/>
      </c>
      <c r="D65" s="169" t="str">
        <f t="shared" si="22"/>
        <v/>
      </c>
      <c r="E65" s="169"/>
      <c r="F65" s="169"/>
      <c r="G65" s="72" t="str">
        <f t="shared" ref="G65:H65" si="23">IF(G24="","",G24)</f>
        <v/>
      </c>
      <c r="H65" s="170" t="str">
        <f t="shared" si="23"/>
        <v/>
      </c>
      <c r="I65" s="171"/>
      <c r="J65" s="171"/>
      <c r="K65" s="172" t="str">
        <f t="shared" si="7"/>
        <v/>
      </c>
      <c r="L65" s="173"/>
      <c r="M65" s="173"/>
      <c r="N65" s="15"/>
      <c r="O65" s="213"/>
      <c r="P65" s="67"/>
      <c r="Q65" s="68"/>
      <c r="R65" s="25"/>
    </row>
    <row r="66" spans="2:18" ht="12.75" customHeight="1">
      <c r="B66" s="21"/>
      <c r="C66" s="62" t="str">
        <f t="shared" ref="C66:D66" si="24">IF(C25="","",C25)</f>
        <v/>
      </c>
      <c r="D66" s="169" t="str">
        <f t="shared" si="24"/>
        <v/>
      </c>
      <c r="E66" s="169"/>
      <c r="F66" s="169"/>
      <c r="G66" s="72" t="str">
        <f t="shared" ref="G66:H66" si="25">IF(G25="","",G25)</f>
        <v/>
      </c>
      <c r="H66" s="170" t="str">
        <f t="shared" si="25"/>
        <v/>
      </c>
      <c r="I66" s="171"/>
      <c r="J66" s="171"/>
      <c r="K66" s="172" t="str">
        <f t="shared" si="7"/>
        <v/>
      </c>
      <c r="L66" s="173"/>
      <c r="M66" s="173"/>
      <c r="N66" s="15"/>
      <c r="O66" s="213"/>
      <c r="P66" s="167" t="s">
        <v>33</v>
      </c>
      <c r="Q66" s="168" t="s">
        <v>30</v>
      </c>
      <c r="R66" s="25"/>
    </row>
    <row r="67" spans="2:18">
      <c r="B67" s="21"/>
      <c r="C67" s="62" t="str">
        <f t="shared" ref="C67:D67" si="26">IF(C26="","",C26)</f>
        <v/>
      </c>
      <c r="D67" s="169" t="str">
        <f t="shared" si="26"/>
        <v/>
      </c>
      <c r="E67" s="169"/>
      <c r="F67" s="169"/>
      <c r="G67" s="72" t="str">
        <f t="shared" ref="G67:H67" si="27">IF(G26="","",G26)</f>
        <v/>
      </c>
      <c r="H67" s="170" t="str">
        <f t="shared" si="27"/>
        <v/>
      </c>
      <c r="I67" s="171"/>
      <c r="J67" s="171"/>
      <c r="K67" s="172" t="str">
        <f t="shared" si="7"/>
        <v/>
      </c>
      <c r="L67" s="173"/>
      <c r="M67" s="173"/>
      <c r="N67" s="15"/>
      <c r="O67" s="213"/>
      <c r="P67" s="167"/>
      <c r="Q67" s="168"/>
      <c r="R67" s="25"/>
    </row>
    <row r="68" spans="2:18">
      <c r="B68" s="21"/>
      <c r="C68" s="62" t="str">
        <f t="shared" ref="C68:D68" si="28">IF(C27="","",C27)</f>
        <v/>
      </c>
      <c r="D68" s="169" t="str">
        <f t="shared" si="28"/>
        <v/>
      </c>
      <c r="E68" s="169"/>
      <c r="F68" s="169"/>
      <c r="G68" s="72" t="str">
        <f t="shared" ref="G68:H68" si="29">IF(G27="","",G27)</f>
        <v/>
      </c>
      <c r="H68" s="170" t="str">
        <f t="shared" si="29"/>
        <v/>
      </c>
      <c r="I68" s="171"/>
      <c r="J68" s="171"/>
      <c r="K68" s="172" t="str">
        <f t="shared" si="7"/>
        <v/>
      </c>
      <c r="L68" s="173"/>
      <c r="M68" s="173"/>
      <c r="N68" s="15"/>
      <c r="O68" s="213"/>
      <c r="P68" s="167"/>
      <c r="Q68" s="168"/>
      <c r="R68" s="25"/>
    </row>
    <row r="69" spans="2:18">
      <c r="B69" s="21"/>
      <c r="C69" s="62" t="str">
        <f t="shared" ref="C69:D69" si="30">IF(C28="","",C28)</f>
        <v/>
      </c>
      <c r="D69" s="169" t="str">
        <f t="shared" si="30"/>
        <v/>
      </c>
      <c r="E69" s="169"/>
      <c r="F69" s="169"/>
      <c r="G69" s="72" t="str">
        <f t="shared" ref="G69:H69" si="31">IF(G28="","",G28)</f>
        <v/>
      </c>
      <c r="H69" s="170" t="str">
        <f t="shared" si="31"/>
        <v/>
      </c>
      <c r="I69" s="171"/>
      <c r="J69" s="171"/>
      <c r="K69" s="172" t="str">
        <f t="shared" si="7"/>
        <v/>
      </c>
      <c r="L69" s="173"/>
      <c r="M69" s="173"/>
      <c r="N69" s="15"/>
      <c r="O69" s="213"/>
      <c r="P69" s="167"/>
      <c r="Q69" s="168"/>
      <c r="R69" s="25"/>
    </row>
    <row r="70" spans="2:18">
      <c r="B70" s="21"/>
      <c r="C70" s="63" t="str">
        <f>IF(C29="","",C29)</f>
        <v/>
      </c>
      <c r="D70" s="174" t="str">
        <f>IF(D29="","",D29)</f>
        <v/>
      </c>
      <c r="E70" s="174"/>
      <c r="F70" s="174"/>
      <c r="G70" s="78" t="str">
        <f>IF(G29="","",G29)</f>
        <v/>
      </c>
      <c r="H70" s="175" t="str">
        <f>IF(H29="","",H29)</f>
        <v/>
      </c>
      <c r="I70" s="176"/>
      <c r="J70" s="176"/>
      <c r="K70" s="177" t="str">
        <f t="shared" si="7"/>
        <v/>
      </c>
      <c r="L70" s="178"/>
      <c r="M70" s="178"/>
      <c r="N70" s="15"/>
      <c r="O70" s="213"/>
      <c r="P70" s="167"/>
      <c r="Q70" s="168"/>
      <c r="R70" s="25"/>
    </row>
    <row r="71" spans="2:18" ht="2.1" customHeight="1">
      <c r="B71" s="21"/>
      <c r="C71" s="37"/>
      <c r="D71" s="135"/>
      <c r="E71" s="135"/>
      <c r="F71" s="135"/>
      <c r="G71" s="37"/>
      <c r="H71" s="119"/>
      <c r="I71" s="119"/>
      <c r="J71" s="119"/>
      <c r="K71" s="119"/>
      <c r="L71" s="119"/>
      <c r="M71" s="119"/>
      <c r="N71" s="15"/>
      <c r="O71" s="213"/>
      <c r="P71" s="167"/>
      <c r="Q71" s="168"/>
      <c r="R71" s="25"/>
    </row>
    <row r="72" spans="2:18">
      <c r="B72" s="21"/>
      <c r="C72" s="179"/>
      <c r="D72" s="180"/>
      <c r="E72" s="180"/>
      <c r="F72" s="180"/>
      <c r="G72" s="181"/>
      <c r="H72" s="188" t="s">
        <v>24</v>
      </c>
      <c r="I72" s="189"/>
      <c r="J72" s="190"/>
      <c r="K72" s="191" t="s">
        <v>4</v>
      </c>
      <c r="L72" s="192"/>
      <c r="M72" s="193"/>
      <c r="N72" s="15"/>
      <c r="O72" s="213"/>
      <c r="P72" s="167"/>
      <c r="Q72" s="168"/>
      <c r="R72" s="25"/>
    </row>
    <row r="73" spans="2:18">
      <c r="B73" s="21"/>
      <c r="C73" s="182"/>
      <c r="D73" s="183"/>
      <c r="E73" s="183"/>
      <c r="F73" s="183"/>
      <c r="G73" s="184"/>
      <c r="H73" s="194">
        <f>IF(H32="","",H32)</f>
        <v>990</v>
      </c>
      <c r="I73" s="195"/>
      <c r="J73" s="196"/>
      <c r="K73" s="197">
        <f>IF(K32="","",K32)</f>
        <v>49.5</v>
      </c>
      <c r="L73" s="198"/>
      <c r="M73" s="199"/>
      <c r="N73" s="15"/>
      <c r="O73" s="213"/>
      <c r="P73" s="167"/>
      <c r="Q73" s="168"/>
      <c r="R73" s="25"/>
    </row>
    <row r="74" spans="2:18" ht="2.1" customHeight="1">
      <c r="B74" s="21"/>
      <c r="C74" s="182"/>
      <c r="D74" s="183"/>
      <c r="E74" s="183"/>
      <c r="F74" s="183"/>
      <c r="G74" s="184"/>
      <c r="H74" s="141"/>
      <c r="I74" s="141"/>
      <c r="J74" s="141"/>
      <c r="K74" s="141"/>
      <c r="L74" s="141"/>
      <c r="M74" s="141"/>
      <c r="N74" s="15"/>
      <c r="O74" s="213"/>
      <c r="P74" s="167"/>
      <c r="Q74" s="168"/>
      <c r="R74" s="25"/>
    </row>
    <row r="75" spans="2:18">
      <c r="B75" s="21"/>
      <c r="C75" s="182"/>
      <c r="D75" s="183"/>
      <c r="E75" s="183"/>
      <c r="F75" s="183"/>
      <c r="G75" s="184"/>
      <c r="H75" s="200" t="s">
        <v>25</v>
      </c>
      <c r="I75" s="201"/>
      <c r="J75" s="201"/>
      <c r="K75" s="152">
        <f>IF(K34="","",K34)</f>
        <v>940.5</v>
      </c>
      <c r="L75" s="153"/>
      <c r="M75" s="154"/>
      <c r="N75" s="15"/>
      <c r="O75" s="213"/>
      <c r="P75" s="167"/>
      <c r="Q75" s="168"/>
      <c r="R75" s="25"/>
    </row>
    <row r="76" spans="2:18">
      <c r="B76" s="21"/>
      <c r="C76" s="185"/>
      <c r="D76" s="186"/>
      <c r="E76" s="186"/>
      <c r="F76" s="186"/>
      <c r="G76" s="187"/>
      <c r="H76" s="202"/>
      <c r="I76" s="203"/>
      <c r="J76" s="203"/>
      <c r="K76" s="155"/>
      <c r="L76" s="156"/>
      <c r="M76" s="157"/>
      <c r="N76" s="15"/>
      <c r="O76" s="213"/>
      <c r="P76" s="167"/>
      <c r="Q76" s="168"/>
      <c r="R76" s="25"/>
    </row>
    <row r="77" spans="2:18" ht="2.1" customHeight="1">
      <c r="B77" s="21"/>
      <c r="C77" s="75"/>
      <c r="D77" s="75"/>
      <c r="E77" s="75"/>
      <c r="F77" s="75"/>
      <c r="G77" s="75"/>
      <c r="H77" s="39"/>
      <c r="I77" s="39"/>
      <c r="J77" s="39"/>
      <c r="K77" s="40"/>
      <c r="L77" s="40"/>
      <c r="M77" s="40"/>
      <c r="N77" s="15"/>
      <c r="O77" s="213"/>
      <c r="P77" s="167"/>
      <c r="Q77" s="168"/>
      <c r="R77" s="25"/>
    </row>
    <row r="78" spans="2:18">
      <c r="B78" s="23"/>
      <c r="C78" s="158" t="s">
        <v>18</v>
      </c>
      <c r="D78" s="159"/>
      <c r="E78" s="51" t="s">
        <v>19</v>
      </c>
      <c r="F78" s="76" t="s">
        <v>20</v>
      </c>
      <c r="G78" s="159" t="s">
        <v>21</v>
      </c>
      <c r="H78" s="159"/>
      <c r="I78" s="160" t="s">
        <v>27</v>
      </c>
      <c r="J78" s="160"/>
      <c r="K78" s="160"/>
      <c r="L78" s="160" t="s">
        <v>26</v>
      </c>
      <c r="M78" s="161"/>
      <c r="N78" s="17"/>
      <c r="O78" s="213"/>
      <c r="P78" s="167"/>
      <c r="Q78" s="168"/>
      <c r="R78" s="27"/>
    </row>
    <row r="79" spans="2:18">
      <c r="B79" s="21"/>
      <c r="C79" s="162">
        <f>IF(C38="","",C38)</f>
        <v>660</v>
      </c>
      <c r="D79" s="163"/>
      <c r="E79" s="73">
        <f>IF(E38="","",E38)</f>
        <v>660</v>
      </c>
      <c r="F79" s="82">
        <f>IF(F38="","",F38)</f>
        <v>660</v>
      </c>
      <c r="G79" s="163">
        <f>IF(G38="","",G38)</f>
        <v>52.800000000000004</v>
      </c>
      <c r="H79" s="163"/>
      <c r="I79" s="164">
        <f>IF(I38="","",I38)</f>
        <v>660</v>
      </c>
      <c r="J79" s="164"/>
      <c r="K79" s="164"/>
      <c r="L79" s="165" t="str">
        <f>IF(L38="","",L38)</f>
        <v>-</v>
      </c>
      <c r="M79" s="166"/>
      <c r="N79" s="15"/>
      <c r="O79" s="214"/>
      <c r="P79" s="69"/>
      <c r="Q79" s="70"/>
      <c r="R79" s="25"/>
    </row>
    <row r="80" spans="2:18" ht="9" customHeight="1">
      <c r="B80" s="24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8"/>
    </row>
    <row r="81" spans="2:18"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20"/>
    </row>
    <row r="82" spans="2:18" ht="12.75" customHeight="1">
      <c r="B82" s="21"/>
      <c r="C82" s="242" t="s">
        <v>45</v>
      </c>
      <c r="D82" s="243"/>
      <c r="E82" s="243"/>
      <c r="F82" s="243"/>
      <c r="G82" s="208" t="s">
        <v>5</v>
      </c>
      <c r="H82" s="208"/>
      <c r="I82" s="208"/>
      <c r="J82" s="208"/>
      <c r="K82" s="208"/>
      <c r="L82" s="208"/>
      <c r="M82" s="209"/>
      <c r="N82" s="15"/>
      <c r="O82" s="212" t="s">
        <v>29</v>
      </c>
      <c r="P82" s="64"/>
      <c r="Q82" s="65"/>
      <c r="R82" s="25"/>
    </row>
    <row r="83" spans="2:18" ht="12.75" customHeight="1">
      <c r="B83" s="21"/>
      <c r="C83" s="244"/>
      <c r="D83" s="245"/>
      <c r="E83" s="245"/>
      <c r="F83" s="245"/>
      <c r="G83" s="210"/>
      <c r="H83" s="210"/>
      <c r="I83" s="210"/>
      <c r="J83" s="210"/>
      <c r="K83" s="210"/>
      <c r="L83" s="210"/>
      <c r="M83" s="211"/>
      <c r="N83" s="15"/>
      <c r="O83" s="213"/>
      <c r="P83" s="215" t="s">
        <v>32</v>
      </c>
      <c r="Q83" s="66"/>
      <c r="R83" s="25"/>
    </row>
    <row r="84" spans="2:18" ht="12.75" customHeight="1">
      <c r="B84" s="21"/>
      <c r="C84" s="246" t="s">
        <v>46</v>
      </c>
      <c r="D84" s="247"/>
      <c r="E84" s="247"/>
      <c r="F84" s="247"/>
      <c r="G84" s="218" t="s">
        <v>55</v>
      </c>
      <c r="H84" s="218"/>
      <c r="I84" s="218"/>
      <c r="J84" s="218"/>
      <c r="K84" s="218"/>
      <c r="L84" s="218"/>
      <c r="M84" s="219"/>
      <c r="N84" s="15"/>
      <c r="O84" s="213"/>
      <c r="P84" s="215"/>
      <c r="Q84" s="168" t="s">
        <v>31</v>
      </c>
      <c r="R84" s="25"/>
    </row>
    <row r="85" spans="2:18">
      <c r="B85" s="21"/>
      <c r="C85" s="183"/>
      <c r="D85" s="183"/>
      <c r="E85" s="183"/>
      <c r="F85" s="183"/>
      <c r="G85" s="183"/>
      <c r="H85" s="183"/>
      <c r="I85" s="183"/>
      <c r="J85" s="183"/>
      <c r="K85" s="183"/>
      <c r="L85" s="183"/>
      <c r="M85" s="183"/>
      <c r="N85" s="15"/>
      <c r="O85" s="213"/>
      <c r="P85" s="215"/>
      <c r="Q85" s="168"/>
      <c r="R85" s="25"/>
    </row>
    <row r="86" spans="2:18">
      <c r="B86" s="22"/>
      <c r="C86" s="49" t="s">
        <v>9</v>
      </c>
      <c r="D86" s="159" t="s">
        <v>10</v>
      </c>
      <c r="E86" s="159"/>
      <c r="F86" s="159"/>
      <c r="G86" s="50" t="s">
        <v>11</v>
      </c>
      <c r="H86" s="51" t="s">
        <v>12</v>
      </c>
      <c r="I86" s="51" t="s">
        <v>13</v>
      </c>
      <c r="J86" s="51" t="s">
        <v>14</v>
      </c>
      <c r="K86" s="101" t="s">
        <v>15</v>
      </c>
      <c r="L86" s="52" t="s">
        <v>16</v>
      </c>
      <c r="M86" s="102" t="s">
        <v>17</v>
      </c>
      <c r="N86" s="16"/>
      <c r="O86" s="213"/>
      <c r="P86" s="215"/>
      <c r="Q86" s="168"/>
      <c r="R86" s="26"/>
    </row>
    <row r="87" spans="2:18">
      <c r="B87" s="21"/>
      <c r="C87" s="34">
        <v>1</v>
      </c>
      <c r="D87" s="220" t="str">
        <f>IFERROR(VLOOKUP(C87,'Base de Dados'!C:D,2,0),"")</f>
        <v>ANA PAULA PIRES DE CARVALHO</v>
      </c>
      <c r="E87" s="220"/>
      <c r="F87" s="220"/>
      <c r="G87" s="220" t="str">
        <f>IFERROR(VLOOKUP(C87,'Base de Dados'!C:E,3,0),"")</f>
        <v>RECEPCIONISTA</v>
      </c>
      <c r="H87" s="220"/>
      <c r="I87" s="220"/>
      <c r="J87" s="220"/>
      <c r="K87" s="220"/>
      <c r="L87" s="220"/>
      <c r="M87" s="248"/>
      <c r="N87" s="15"/>
      <c r="O87" s="213"/>
      <c r="P87" s="215"/>
      <c r="Q87" s="168"/>
      <c r="R87" s="25"/>
    </row>
    <row r="88" spans="2:18">
      <c r="B88" s="21"/>
      <c r="C88" s="183"/>
      <c r="D88" s="183"/>
      <c r="E88" s="183"/>
      <c r="F88" s="183"/>
      <c r="G88" s="183"/>
      <c r="H88" s="183"/>
      <c r="I88" s="183"/>
      <c r="J88" s="183"/>
      <c r="K88" s="183"/>
      <c r="L88" s="183"/>
      <c r="M88" s="183"/>
      <c r="N88" s="15"/>
      <c r="O88" s="213"/>
      <c r="P88" s="215"/>
      <c r="Q88" s="168"/>
      <c r="R88" s="25"/>
    </row>
    <row r="89" spans="2:18">
      <c r="B89" s="21"/>
      <c r="C89" s="106" t="s">
        <v>22</v>
      </c>
      <c r="D89" s="223" t="s">
        <v>1</v>
      </c>
      <c r="E89" s="223"/>
      <c r="F89" s="223"/>
      <c r="G89" s="106" t="s">
        <v>23</v>
      </c>
      <c r="H89" s="223" t="s">
        <v>2</v>
      </c>
      <c r="I89" s="223"/>
      <c r="J89" s="223"/>
      <c r="K89" s="223" t="s">
        <v>3</v>
      </c>
      <c r="L89" s="223"/>
      <c r="M89" s="223"/>
      <c r="N89" s="15"/>
      <c r="O89" s="213"/>
      <c r="P89" s="215"/>
      <c r="Q89" s="168"/>
      <c r="R89" s="25"/>
    </row>
    <row r="90" spans="2:18">
      <c r="B90" s="21"/>
      <c r="C90" s="99"/>
      <c r="D90" s="126"/>
      <c r="E90" s="126"/>
      <c r="F90" s="126"/>
      <c r="G90" s="99"/>
      <c r="H90" s="126"/>
      <c r="I90" s="126"/>
      <c r="J90" s="126"/>
      <c r="K90" s="126"/>
      <c r="L90" s="126"/>
      <c r="M90" s="126"/>
      <c r="N90" s="15"/>
      <c r="O90" s="213"/>
      <c r="P90" s="215"/>
      <c r="Q90" s="168"/>
      <c r="R90" s="25"/>
    </row>
    <row r="91" spans="2:18">
      <c r="B91" s="88">
        <v>1</v>
      </c>
      <c r="C91" s="61">
        <f>IFERROR(VLOOKUP(B91&amp;"-"&amp;$C$8,'Base de Dados'!B:F,5,0),"")</f>
        <v>101</v>
      </c>
      <c r="D91" s="249" t="str">
        <f>IFERROR(VLOOKUP(C91,Configuração!A:B,2,0),"")</f>
        <v>SALARIO</v>
      </c>
      <c r="E91" s="249"/>
      <c r="F91" s="255"/>
      <c r="G91" s="90" t="str">
        <f>IFERROR(VLOOKUP(B91&amp;"-"&amp;$C$8,'Base de Dados'!B:H,7,0),"")</f>
        <v>30 d</v>
      </c>
      <c r="H91" s="250">
        <f>IFERROR(IF(VLOOKUP(B91&amp;"-"&amp;$C$8,'Base de Dados'!B:I,8,0)=0,"",VLOOKUP(B91&amp;"-"&amp;$C$8,'Base de Dados'!B:I,8,0)),"")</f>
        <v>660</v>
      </c>
      <c r="I91" s="250"/>
      <c r="J91" s="250"/>
      <c r="K91" s="227" t="str">
        <f>IFERROR(IF(VLOOKUP(B91&amp;"-"&amp;$C$8,'Base de Dados'!B:J,9,0)=0,"",VLOOKUP(B91&amp;"-"&amp;$C$8,'Base de Dados'!B:J,9,0)),"")</f>
        <v/>
      </c>
      <c r="L91" s="227"/>
      <c r="M91" s="227"/>
      <c r="N91" s="15"/>
      <c r="O91" s="213"/>
      <c r="P91" s="215"/>
      <c r="Q91" s="168"/>
      <c r="R91" s="25"/>
    </row>
    <row r="92" spans="2:18">
      <c r="B92" s="88">
        <v>2</v>
      </c>
      <c r="C92" s="62">
        <f>IFERROR(VLOOKUP(B93&amp;"-"&amp;$C$8,'Base de Dados'!B:F,5,0),"")</f>
        <v>988</v>
      </c>
      <c r="D92" s="169" t="str">
        <f>IFERROR(VLOOKUP(C92,Configuração!A:B,2,0),"")</f>
        <v>SALARIO FAMILIA</v>
      </c>
      <c r="E92" s="169"/>
      <c r="F92" s="169"/>
      <c r="G92" s="91" t="str">
        <f>IFERROR(VLOOKUP(B93&amp;"-"&amp;$C$8,'Base de Dados'!B:H,7,0),"")</f>
        <v>01</v>
      </c>
      <c r="H92" s="251">
        <f>IFERROR(IF(VLOOKUP(B93&amp;"-"&amp;$C$8,'Base de Dados'!B:I,8,0)=0,"",VLOOKUP(B93&amp;"-"&amp;$C$8,'Base de Dados'!B:I,8,0)),"")</f>
        <v>32.799999999999997</v>
      </c>
      <c r="I92" s="251"/>
      <c r="J92" s="251"/>
      <c r="K92" s="170" t="str">
        <f>IFERROR(IF(VLOOKUP(B93&amp;"-"&amp;$C$8,'Base de Dados'!B:J,9,0)=0,"",VLOOKUP(B93&amp;"-"&amp;$C$8,'Base de Dados'!B:J,9,0)),"")</f>
        <v/>
      </c>
      <c r="L92" s="170"/>
      <c r="M92" s="170"/>
      <c r="N92" s="15"/>
      <c r="O92" s="213"/>
      <c r="P92" s="215"/>
      <c r="Q92" s="168"/>
      <c r="R92" s="25"/>
    </row>
    <row r="93" spans="2:18">
      <c r="B93" s="88">
        <v>3</v>
      </c>
      <c r="C93" s="62">
        <v>973</v>
      </c>
      <c r="D93" s="169" t="str">
        <f>IFERROR(VLOOKUP(C93,Configuração!A:B,2,0),"")</f>
        <v>INSS</v>
      </c>
      <c r="E93" s="169"/>
      <c r="F93" s="236"/>
      <c r="G93" s="97">
        <f>IFERROR(VLOOKUP(B92&amp;"-"&amp;$C$8,'Base de Dados'!B:H,7,0),"")</f>
        <v>0.08</v>
      </c>
      <c r="H93" s="241"/>
      <c r="I93" s="251"/>
      <c r="J93" s="251"/>
      <c r="K93" s="170">
        <f>IFERROR(IF(VLOOKUP(B92&amp;"-"&amp;$C$8,'Base de Dados'!B:J,9,0)=0,"",VLOOKUP(B92&amp;"-"&amp;$C$8,'Base de Dados'!B:J,9,0)),"")</f>
        <v>52.800000000000004</v>
      </c>
      <c r="L93" s="170"/>
      <c r="M93" s="170"/>
      <c r="N93" s="15"/>
      <c r="O93" s="213"/>
      <c r="P93" s="215"/>
      <c r="Q93" s="168"/>
      <c r="R93" s="25"/>
    </row>
    <row r="94" spans="2:18">
      <c r="B94" s="88">
        <v>4</v>
      </c>
      <c r="C94" s="62"/>
      <c r="D94" s="169" t="str">
        <f>IFERROR(VLOOKUP(C94,Configuração!A:B,2,0),"")</f>
        <v/>
      </c>
      <c r="E94" s="169"/>
      <c r="F94" s="236"/>
      <c r="G94" s="97"/>
      <c r="H94" s="241" t="str">
        <f>IFERROR(IF(VLOOKUP(B92&amp;"-"&amp;$C$8,'Base de Dados'!B:I,8,0)=0,"",VLOOKUP(B92&amp;"-"&amp;$C$8,'Base de Dados'!B:I,8,0)),"")</f>
        <v/>
      </c>
      <c r="I94" s="251"/>
      <c r="J94" s="251"/>
      <c r="K94" s="170"/>
      <c r="L94" s="170"/>
      <c r="M94" s="170"/>
      <c r="N94" s="15"/>
      <c r="O94" s="213"/>
      <c r="P94" s="215"/>
      <c r="Q94" s="168"/>
      <c r="R94" s="25"/>
    </row>
    <row r="95" spans="2:18">
      <c r="B95" s="88">
        <v>5</v>
      </c>
      <c r="C95" s="62"/>
      <c r="D95" s="169" t="str">
        <f>IFERROR(VLOOKUP(C95,Configuração!A:B,2,0),"")</f>
        <v/>
      </c>
      <c r="E95" s="169"/>
      <c r="F95" s="169"/>
      <c r="G95" s="97"/>
      <c r="H95" s="231" t="str">
        <f>IFERROR(IF(VLOOKUP(B95&amp;"-"&amp;$C$8,'Base de Dados'!B:I,8,0)=0,"",VLOOKUP(B95&amp;"-"&amp;$C$8,'Base de Dados'!B:I,8,0)),"")</f>
        <v/>
      </c>
      <c r="I95" s="231"/>
      <c r="J95" s="231"/>
      <c r="K95" s="172" t="str">
        <f>IFERROR(IF(VLOOKUP(B95&amp;"-"&amp;$C$8,'Base de Dados'!B:J,9,0)=0,"",VLOOKUP(B95&amp;"-"&amp;$C$8,'Base de Dados'!B:J,9,0)),"")</f>
        <v/>
      </c>
      <c r="L95" s="172"/>
      <c r="M95" s="172"/>
      <c r="N95" s="15"/>
      <c r="O95" s="213"/>
      <c r="P95" s="215"/>
      <c r="Q95" s="168"/>
      <c r="R95" s="25"/>
    </row>
    <row r="96" spans="2:18">
      <c r="B96" s="88">
        <v>6</v>
      </c>
      <c r="C96" s="62"/>
      <c r="D96" s="169"/>
      <c r="E96" s="169"/>
      <c r="F96" s="169"/>
      <c r="G96" s="97"/>
      <c r="H96" s="231"/>
      <c r="I96" s="231"/>
      <c r="J96" s="231"/>
      <c r="K96" s="172"/>
      <c r="L96" s="172"/>
      <c r="M96" s="172"/>
      <c r="N96" s="15"/>
      <c r="O96" s="213"/>
      <c r="P96" s="215"/>
      <c r="Q96" s="168"/>
      <c r="R96" s="25"/>
    </row>
    <row r="97" spans="2:18">
      <c r="B97" s="88">
        <v>7</v>
      </c>
      <c r="C97" s="62"/>
      <c r="D97" s="169"/>
      <c r="E97" s="169"/>
      <c r="F97" s="169"/>
      <c r="G97" s="97"/>
      <c r="H97" s="231"/>
      <c r="I97" s="231"/>
      <c r="J97" s="231"/>
      <c r="K97" s="172"/>
      <c r="L97" s="172"/>
      <c r="M97" s="172"/>
      <c r="N97" s="15"/>
      <c r="O97" s="213"/>
      <c r="P97" s="215"/>
      <c r="Q97" s="168"/>
      <c r="R97" s="25"/>
    </row>
    <row r="98" spans="2:18">
      <c r="B98" s="88">
        <v>8</v>
      </c>
      <c r="C98" s="62"/>
      <c r="D98" s="169"/>
      <c r="E98" s="169"/>
      <c r="F98" s="169"/>
      <c r="G98" s="97" t="str">
        <f>IFERROR(VLOOKUP(B97&amp;"-"&amp;$C$8,'Base de Dados'!B:H,7,0),"")</f>
        <v/>
      </c>
      <c r="H98" s="231"/>
      <c r="I98" s="231"/>
      <c r="J98" s="231"/>
      <c r="K98" s="172"/>
      <c r="L98" s="172"/>
      <c r="M98" s="172"/>
      <c r="N98" s="15"/>
      <c r="O98" s="213"/>
      <c r="P98" s="215"/>
      <c r="Q98" s="168"/>
      <c r="R98" s="25"/>
    </row>
    <row r="99" spans="2:18">
      <c r="B99" s="88">
        <v>9</v>
      </c>
      <c r="C99" s="62"/>
      <c r="D99" s="169"/>
      <c r="E99" s="169"/>
      <c r="F99" s="169"/>
      <c r="G99" s="97" t="str">
        <f>IFERROR(VLOOKUP(B98&amp;"-"&amp;$C$8,'Base de Dados'!B:H,7,0),"")</f>
        <v/>
      </c>
      <c r="H99" s="231"/>
      <c r="I99" s="231"/>
      <c r="J99" s="231"/>
      <c r="K99" s="172"/>
      <c r="L99" s="172"/>
      <c r="M99" s="172"/>
      <c r="N99" s="15"/>
      <c r="O99" s="213"/>
      <c r="P99" s="215"/>
      <c r="Q99" s="168"/>
      <c r="R99" s="25"/>
    </row>
    <row r="100" spans="2:18">
      <c r="B100" s="88">
        <v>10</v>
      </c>
      <c r="C100" s="62"/>
      <c r="D100" s="169"/>
      <c r="E100" s="169"/>
      <c r="F100" s="169"/>
      <c r="G100" s="97" t="str">
        <f>IFERROR(VLOOKUP(B99&amp;"-"&amp;$C$8,'Base de Dados'!B:H,7,0),"")</f>
        <v/>
      </c>
      <c r="H100" s="231"/>
      <c r="I100" s="231"/>
      <c r="J100" s="231"/>
      <c r="K100" s="172"/>
      <c r="L100" s="172"/>
      <c r="M100" s="172"/>
      <c r="N100" s="15"/>
      <c r="O100" s="213"/>
      <c r="P100" s="215"/>
      <c r="Q100" s="168"/>
      <c r="R100" s="25"/>
    </row>
    <row r="101" spans="2:18">
      <c r="B101" s="88">
        <v>11</v>
      </c>
      <c r="C101" s="62"/>
      <c r="D101" s="169"/>
      <c r="E101" s="169"/>
      <c r="F101" s="169"/>
      <c r="G101" s="97" t="str">
        <f>IFERROR(VLOOKUP(B100&amp;"-"&amp;$C$8,'Base de Dados'!B:H,7,0),"")</f>
        <v/>
      </c>
      <c r="H101" s="231"/>
      <c r="I101" s="231"/>
      <c r="J101" s="231"/>
      <c r="K101" s="172"/>
      <c r="L101" s="172"/>
      <c r="M101" s="172"/>
      <c r="N101" s="15"/>
      <c r="O101" s="213"/>
      <c r="P101" s="215"/>
      <c r="Q101" s="168"/>
      <c r="R101" s="25"/>
    </row>
    <row r="102" spans="2:18">
      <c r="B102" s="88">
        <v>12</v>
      </c>
      <c r="C102" s="62" t="str">
        <f>IFERROR(VLOOKUP(B102&amp;"-"&amp;$C$8,'Base de Dados'!B:F,5,0),"")</f>
        <v/>
      </c>
      <c r="D102" s="169" t="str">
        <f>IFERROR(VLOOKUP(C102,Configuração!A:B,2,0),"")</f>
        <v/>
      </c>
      <c r="E102" s="169"/>
      <c r="F102" s="169"/>
      <c r="G102" s="97" t="str">
        <f>IFERROR(VLOOKUP(B101&amp;"-"&amp;$C$8,'Base de Dados'!B:H,7,0),"")</f>
        <v/>
      </c>
      <c r="H102" s="231" t="str">
        <f>IFERROR(IF(VLOOKUP(B102&amp;"-"&amp;$C$8,'Base de Dados'!B:I,8,0)=0,"",VLOOKUP(B102&amp;"-"&amp;$C$8,'Base de Dados'!B:I,8,0)),"")</f>
        <v/>
      </c>
      <c r="I102" s="231"/>
      <c r="J102" s="231"/>
      <c r="K102" s="172" t="str">
        <f>IFERROR(IF(VLOOKUP(B102&amp;"-"&amp;$C$8,'Base de Dados'!B:J,9,0)=0,"",VLOOKUP(B102&amp;"-"&amp;$C$8,'Base de Dados'!B:J,9,0)),"")</f>
        <v/>
      </c>
      <c r="L102" s="172"/>
      <c r="M102" s="172"/>
      <c r="N102" s="15"/>
      <c r="O102" s="213"/>
      <c r="P102" s="67"/>
      <c r="Q102" s="68"/>
      <c r="R102" s="25"/>
    </row>
    <row r="103" spans="2:18">
      <c r="B103" s="88">
        <v>13</v>
      </c>
      <c r="C103" s="62" t="str">
        <f>IFERROR(VLOOKUP(B103&amp;"-"&amp;$C$8,'Base de Dados'!B:F,5,0),"")</f>
        <v/>
      </c>
      <c r="D103" s="169" t="str">
        <f>IFERROR(VLOOKUP(C103,Configuração!A:B,2,0),"")</f>
        <v/>
      </c>
      <c r="E103" s="169"/>
      <c r="F103" s="169"/>
      <c r="G103" s="97" t="str">
        <f>IFERROR(VLOOKUP(B102&amp;"-"&amp;$C$8,'Base de Dados'!B:H,7,0),"")</f>
        <v/>
      </c>
      <c r="H103" s="231" t="str">
        <f>IFERROR(IF(VLOOKUP(B103&amp;"-"&amp;$C$8,'Base de Dados'!B:I,8,0)=0,"",VLOOKUP(B103&amp;"-"&amp;$C$8,'Base de Dados'!B:I,8,0)),"")</f>
        <v/>
      </c>
      <c r="I103" s="231"/>
      <c r="J103" s="231"/>
      <c r="K103" s="172" t="str">
        <f>IFERROR(IF(VLOOKUP(B103&amp;"-"&amp;$C$8,'Base de Dados'!B:J,9,0)=0,"",VLOOKUP(B103&amp;"-"&amp;$C$8,'Base de Dados'!B:J,9,0)),"")</f>
        <v/>
      </c>
      <c r="L103" s="172"/>
      <c r="M103" s="172"/>
      <c r="N103" s="15"/>
      <c r="O103" s="213"/>
      <c r="P103" s="67"/>
      <c r="Q103" s="68"/>
      <c r="R103" s="25"/>
    </row>
    <row r="104" spans="2:18" ht="12.75" customHeight="1">
      <c r="B104" s="88">
        <v>14</v>
      </c>
      <c r="C104" s="62" t="str">
        <f>IFERROR(VLOOKUP(B104&amp;"-"&amp;$C$8,'Base de Dados'!B:F,5,0),"")</f>
        <v/>
      </c>
      <c r="D104" s="169" t="str">
        <f>IFERROR(VLOOKUP(C104,Configuração!A:B,2,0),"")</f>
        <v/>
      </c>
      <c r="E104" s="169"/>
      <c r="F104" s="169"/>
      <c r="G104" s="97" t="str">
        <f>IFERROR(VLOOKUP(B103&amp;"-"&amp;$C$8,'Base de Dados'!B:H,7,0),"")</f>
        <v/>
      </c>
      <c r="H104" s="231" t="str">
        <f>IFERROR(IF(VLOOKUP(B104&amp;"-"&amp;$C$8,'Base de Dados'!B:I,8,0)=0,"",VLOOKUP(B104&amp;"-"&amp;$C$8,'Base de Dados'!B:I,8,0)),"")</f>
        <v/>
      </c>
      <c r="I104" s="231"/>
      <c r="J104" s="231"/>
      <c r="K104" s="172" t="str">
        <f>IFERROR(IF(VLOOKUP(B104&amp;"-"&amp;$C$8,'Base de Dados'!B:J,9,0)=0,"",VLOOKUP(B104&amp;"-"&amp;$C$8,'Base de Dados'!B:J,9,0)),"")</f>
        <v/>
      </c>
      <c r="L104" s="172"/>
      <c r="M104" s="172"/>
      <c r="N104" s="15"/>
      <c r="O104" s="213"/>
      <c r="P104" s="167" t="s">
        <v>33</v>
      </c>
      <c r="Q104" s="168" t="s">
        <v>30</v>
      </c>
      <c r="R104" s="25"/>
    </row>
    <row r="105" spans="2:18">
      <c r="B105" s="88">
        <v>15</v>
      </c>
      <c r="C105" s="62" t="str">
        <f>IFERROR(VLOOKUP(B105&amp;"-"&amp;$C$8,'Base de Dados'!B:F,5,0),"")</f>
        <v/>
      </c>
      <c r="D105" s="169" t="str">
        <f>IFERROR(VLOOKUP(C105,Configuração!A:B,2,0),"")</f>
        <v/>
      </c>
      <c r="E105" s="169"/>
      <c r="F105" s="169"/>
      <c r="G105" s="97" t="str">
        <f>IFERROR(VLOOKUP(B104&amp;"-"&amp;$C$8,'Base de Dados'!B:H,7,0),"")</f>
        <v/>
      </c>
      <c r="H105" s="231" t="str">
        <f>IFERROR(IF(VLOOKUP(B105&amp;"-"&amp;$C$8,'Base de Dados'!B:I,8,0)=0,"",VLOOKUP(B105&amp;"-"&amp;$C$8,'Base de Dados'!B:I,8,0)),"")</f>
        <v/>
      </c>
      <c r="I105" s="231"/>
      <c r="J105" s="231"/>
      <c r="K105" s="172" t="str">
        <f>IFERROR(IF(VLOOKUP(B105&amp;"-"&amp;$C$8,'Base de Dados'!B:J,9,0)=0,"",VLOOKUP(B105&amp;"-"&amp;$C$8,'Base de Dados'!B:J,9,0)),"")</f>
        <v/>
      </c>
      <c r="L105" s="172"/>
      <c r="M105" s="172"/>
      <c r="N105" s="15"/>
      <c r="O105" s="213"/>
      <c r="P105" s="167"/>
      <c r="Q105" s="168"/>
      <c r="R105" s="25"/>
    </row>
    <row r="106" spans="2:18">
      <c r="B106" s="88">
        <v>16</v>
      </c>
      <c r="C106" s="62" t="str">
        <f>IFERROR(VLOOKUP(B106&amp;"-"&amp;$C$8,'Base de Dados'!B:F,5,0),"")</f>
        <v/>
      </c>
      <c r="D106" s="169" t="str">
        <f>IFERROR(VLOOKUP(C106,Configuração!A:B,2,0),"")</f>
        <v/>
      </c>
      <c r="E106" s="169"/>
      <c r="F106" s="169"/>
      <c r="G106" s="97" t="str">
        <f>IFERROR(VLOOKUP(B105&amp;"-"&amp;$C$8,'Base de Dados'!B:H,7,0),"")</f>
        <v/>
      </c>
      <c r="H106" s="231" t="str">
        <f>IFERROR(IF(VLOOKUP(B106&amp;"-"&amp;$C$8,'Base de Dados'!B:I,8,0)=0,"",VLOOKUP(B106&amp;"-"&amp;$C$8,'Base de Dados'!B:I,8,0)),"")</f>
        <v/>
      </c>
      <c r="I106" s="231"/>
      <c r="J106" s="231"/>
      <c r="K106" s="172" t="str">
        <f>IFERROR(IF(VLOOKUP(B106&amp;"-"&amp;$C$8,'Base de Dados'!B:J,9,0)=0,"",VLOOKUP(B106&amp;"-"&amp;$C$8,'Base de Dados'!B:J,9,0)),"")</f>
        <v/>
      </c>
      <c r="L106" s="172"/>
      <c r="M106" s="172"/>
      <c r="N106" s="15"/>
      <c r="O106" s="213"/>
      <c r="P106" s="167"/>
      <c r="Q106" s="168"/>
      <c r="R106" s="25"/>
    </row>
    <row r="107" spans="2:18">
      <c r="B107" s="88">
        <v>17</v>
      </c>
      <c r="C107" s="62" t="str">
        <f>IFERROR(VLOOKUP(B107&amp;"-"&amp;$C$8,'Base de Dados'!B:F,5,0),"")</f>
        <v/>
      </c>
      <c r="D107" s="169" t="str">
        <f>IFERROR(VLOOKUP(C107,Configuração!A:B,2,0),"")</f>
        <v/>
      </c>
      <c r="E107" s="169"/>
      <c r="F107" s="169"/>
      <c r="G107" s="97" t="str">
        <f>IFERROR(VLOOKUP(B106&amp;"-"&amp;$C$8,'Base de Dados'!B:H,7,0),"")</f>
        <v/>
      </c>
      <c r="H107" s="231" t="str">
        <f>IFERROR(IF(VLOOKUP(B107&amp;"-"&amp;$C$8,'Base de Dados'!B:I,8,0)=0,"",VLOOKUP(B107&amp;"-"&amp;$C$8,'Base de Dados'!B:I,8,0)),"")</f>
        <v/>
      </c>
      <c r="I107" s="231"/>
      <c r="J107" s="231"/>
      <c r="K107" s="172" t="str">
        <f>IFERROR(IF(VLOOKUP(B107&amp;"-"&amp;$C$8,'Base de Dados'!B:J,9,0)=0,"",VLOOKUP(B107&amp;"-"&amp;$C$8,'Base de Dados'!B:J,9,0)),"")</f>
        <v/>
      </c>
      <c r="L107" s="172"/>
      <c r="M107" s="172"/>
      <c r="N107" s="15"/>
      <c r="O107" s="213"/>
      <c r="P107" s="167"/>
      <c r="Q107" s="168"/>
      <c r="R107" s="25"/>
    </row>
    <row r="108" spans="2:18">
      <c r="B108" s="88">
        <v>18</v>
      </c>
      <c r="C108" s="63" t="str">
        <f>IFERROR(VLOOKUP(B108&amp;"-"&amp;$C$8,'Base de Dados'!B:F,5,0),"")</f>
        <v/>
      </c>
      <c r="D108" s="232" t="str">
        <f>IFERROR(VLOOKUP(C108,Configuração!A:B,2,0),"")</f>
        <v/>
      </c>
      <c r="E108" s="232"/>
      <c r="F108" s="232"/>
      <c r="G108" s="111" t="str">
        <f>IFERROR(VLOOKUP(B107&amp;"-"&amp;$C$8,'Base de Dados'!B:H,7,0),"")</f>
        <v/>
      </c>
      <c r="H108" s="233" t="str">
        <f>IFERROR(IF(VLOOKUP(B108&amp;"-"&amp;$C$8,'Base de Dados'!B:I,8,0)=0,"",VLOOKUP(B108&amp;"-"&amp;$C$8,'Base de Dados'!B:I,8,0)),"")</f>
        <v/>
      </c>
      <c r="I108" s="233"/>
      <c r="J108" s="233"/>
      <c r="K108" s="177" t="str">
        <f>IFERROR(IF(VLOOKUP(B108&amp;"-"&amp;$C$8,'Base de Dados'!B:J,9,0)=0,"",VLOOKUP(B108&amp;"-"&amp;$C$8,'Base de Dados'!B:J,9,0)),"")</f>
        <v/>
      </c>
      <c r="L108" s="177"/>
      <c r="M108" s="177"/>
      <c r="N108" s="15"/>
      <c r="O108" s="213"/>
      <c r="P108" s="167"/>
      <c r="Q108" s="168"/>
      <c r="R108" s="25"/>
    </row>
    <row r="109" spans="2:18">
      <c r="B109" s="21"/>
      <c r="C109" s="37"/>
      <c r="D109" s="135"/>
      <c r="E109" s="135"/>
      <c r="F109" s="135"/>
      <c r="G109" s="37"/>
      <c r="H109" s="119"/>
      <c r="I109" s="119"/>
      <c r="J109" s="119"/>
      <c r="K109" s="119"/>
      <c r="L109" s="119"/>
      <c r="M109" s="119"/>
      <c r="N109" s="15"/>
      <c r="O109" s="213"/>
      <c r="P109" s="167"/>
      <c r="Q109" s="168"/>
      <c r="R109" s="25"/>
    </row>
    <row r="110" spans="2:18">
      <c r="B110" s="21"/>
      <c r="C110" s="179"/>
      <c r="D110" s="180"/>
      <c r="E110" s="180"/>
      <c r="F110" s="180"/>
      <c r="G110" s="181"/>
      <c r="H110" s="189" t="s">
        <v>24</v>
      </c>
      <c r="I110" s="189"/>
      <c r="J110" s="190"/>
      <c r="K110" s="191" t="s">
        <v>4</v>
      </c>
      <c r="L110" s="192"/>
      <c r="M110" s="193"/>
      <c r="N110" s="15"/>
      <c r="O110" s="213"/>
      <c r="P110" s="167"/>
      <c r="Q110" s="168"/>
      <c r="R110" s="25"/>
    </row>
    <row r="111" spans="2:18">
      <c r="B111" s="21"/>
      <c r="C111" s="182"/>
      <c r="D111" s="183"/>
      <c r="E111" s="183"/>
      <c r="F111" s="183"/>
      <c r="G111" s="184"/>
      <c r="H111" s="195">
        <f>SUM(H91:J108)</f>
        <v>692.8</v>
      </c>
      <c r="I111" s="195"/>
      <c r="J111" s="196"/>
      <c r="K111" s="197">
        <f>SUM(K92:M108)</f>
        <v>52.800000000000004</v>
      </c>
      <c r="L111" s="198"/>
      <c r="M111" s="199"/>
      <c r="N111" s="15"/>
      <c r="O111" s="213"/>
      <c r="P111" s="167"/>
      <c r="Q111" s="168"/>
      <c r="R111" s="25"/>
    </row>
    <row r="112" spans="2:18">
      <c r="B112" s="21"/>
      <c r="C112" s="182"/>
      <c r="D112" s="183"/>
      <c r="E112" s="183"/>
      <c r="F112" s="183"/>
      <c r="G112" s="184"/>
      <c r="H112" s="141"/>
      <c r="I112" s="141"/>
      <c r="J112" s="141"/>
      <c r="K112" s="141"/>
      <c r="L112" s="141"/>
      <c r="M112" s="141"/>
      <c r="N112" s="15"/>
      <c r="O112" s="213"/>
      <c r="P112" s="167"/>
      <c r="Q112" s="168"/>
      <c r="R112" s="25"/>
    </row>
    <row r="113" spans="2:18">
      <c r="B113" s="21"/>
      <c r="C113" s="182"/>
      <c r="D113" s="183"/>
      <c r="E113" s="183"/>
      <c r="F113" s="183"/>
      <c r="G113" s="184"/>
      <c r="H113" s="200" t="s">
        <v>25</v>
      </c>
      <c r="I113" s="201"/>
      <c r="J113" s="234"/>
      <c r="K113" s="152">
        <f>H111-K111</f>
        <v>640</v>
      </c>
      <c r="L113" s="153"/>
      <c r="M113" s="154"/>
      <c r="N113" s="15"/>
      <c r="O113" s="213"/>
      <c r="P113" s="167"/>
      <c r="Q113" s="168"/>
      <c r="R113" s="25"/>
    </row>
    <row r="114" spans="2:18">
      <c r="B114" s="21"/>
      <c r="C114" s="185"/>
      <c r="D114" s="186"/>
      <c r="E114" s="186"/>
      <c r="F114" s="186"/>
      <c r="G114" s="187"/>
      <c r="H114" s="202"/>
      <c r="I114" s="203"/>
      <c r="J114" s="235"/>
      <c r="K114" s="155"/>
      <c r="L114" s="156"/>
      <c r="M114" s="157"/>
      <c r="N114" s="15"/>
      <c r="O114" s="213"/>
      <c r="P114" s="167"/>
      <c r="Q114" s="168"/>
      <c r="R114" s="25"/>
    </row>
    <row r="115" spans="2:18">
      <c r="B115" s="21"/>
      <c r="C115" s="104"/>
      <c r="D115" s="104"/>
      <c r="E115" s="104"/>
      <c r="F115" s="104"/>
      <c r="G115" s="104"/>
      <c r="H115" s="39"/>
      <c r="I115" s="39"/>
      <c r="J115" s="39"/>
      <c r="K115" s="40"/>
      <c r="L115" s="40"/>
      <c r="M115" s="40"/>
      <c r="N115" s="15"/>
      <c r="O115" s="213"/>
      <c r="P115" s="167"/>
      <c r="Q115" s="168"/>
      <c r="R115" s="25"/>
    </row>
    <row r="116" spans="2:18">
      <c r="B116" s="23"/>
      <c r="C116" s="158" t="s">
        <v>18</v>
      </c>
      <c r="D116" s="159"/>
      <c r="E116" s="51" t="s">
        <v>19</v>
      </c>
      <c r="F116" s="100" t="s">
        <v>20</v>
      </c>
      <c r="G116" s="159" t="s">
        <v>21</v>
      </c>
      <c r="H116" s="159"/>
      <c r="I116" s="160" t="s">
        <v>27</v>
      </c>
      <c r="J116" s="160"/>
      <c r="K116" s="160"/>
      <c r="L116" s="160" t="s">
        <v>26</v>
      </c>
      <c r="M116" s="161"/>
      <c r="N116" s="17"/>
      <c r="O116" s="213"/>
      <c r="P116" s="167"/>
      <c r="Q116" s="168"/>
      <c r="R116" s="27"/>
    </row>
    <row r="117" spans="2:18">
      <c r="B117" s="21"/>
      <c r="C117" s="229">
        <f>'Base de Dados'!I84</f>
        <v>0</v>
      </c>
      <c r="D117" s="230"/>
      <c r="E117" s="41">
        <f>'Base de Dados'!I84</f>
        <v>0</v>
      </c>
      <c r="F117" s="105">
        <f>'Base de Dados'!I84</f>
        <v>0</v>
      </c>
      <c r="G117" s="230">
        <f>F117*8%</f>
        <v>0</v>
      </c>
      <c r="H117" s="230"/>
      <c r="I117" s="164">
        <f>F117-K93</f>
        <v>-52.800000000000004</v>
      </c>
      <c r="J117" s="164"/>
      <c r="K117" s="164"/>
      <c r="L117" s="165" t="s">
        <v>47</v>
      </c>
      <c r="M117" s="166"/>
      <c r="N117" s="15"/>
      <c r="O117" s="214"/>
      <c r="P117" s="69"/>
      <c r="Q117" s="70"/>
      <c r="R117" s="25"/>
    </row>
    <row r="118" spans="2:18">
      <c r="B118" s="24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8"/>
    </row>
    <row r="119" spans="2:18"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</row>
    <row r="120" spans="2:18">
      <c r="B120" s="151" t="s">
        <v>34</v>
      </c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</row>
    <row r="121" spans="2:18"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</row>
    <row r="122" spans="2:18">
      <c r="B122" s="18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20"/>
    </row>
    <row r="123" spans="2:18" ht="12.75" customHeight="1">
      <c r="B123" s="21"/>
      <c r="C123" s="204" t="str">
        <f>IF(C82="","",C82)</f>
        <v>MAYARA SILVA DE SOUZA &amp; CIA LTDA</v>
      </c>
      <c r="D123" s="205"/>
      <c r="E123" s="205"/>
      <c r="F123" s="205"/>
      <c r="G123" s="208" t="s">
        <v>5</v>
      </c>
      <c r="H123" s="208"/>
      <c r="I123" s="208"/>
      <c r="J123" s="208"/>
      <c r="K123" s="208"/>
      <c r="L123" s="208"/>
      <c r="M123" s="209"/>
      <c r="N123" s="15"/>
      <c r="O123" s="212" t="s">
        <v>29</v>
      </c>
      <c r="P123" s="64"/>
      <c r="Q123" s="65"/>
      <c r="R123" s="25"/>
    </row>
    <row r="124" spans="2:18" ht="12.75" customHeight="1">
      <c r="B124" s="21"/>
      <c r="C124" s="206"/>
      <c r="D124" s="207"/>
      <c r="E124" s="207"/>
      <c r="F124" s="207"/>
      <c r="G124" s="210"/>
      <c r="H124" s="210"/>
      <c r="I124" s="210"/>
      <c r="J124" s="210"/>
      <c r="K124" s="210"/>
      <c r="L124" s="210"/>
      <c r="M124" s="211"/>
      <c r="N124" s="15"/>
      <c r="O124" s="213"/>
      <c r="P124" s="215" t="s">
        <v>32</v>
      </c>
      <c r="Q124" s="66"/>
      <c r="R124" s="25"/>
    </row>
    <row r="125" spans="2:18" ht="12.75" customHeight="1">
      <c r="B125" s="21"/>
      <c r="C125" s="216" t="str">
        <f>IF(C84="","",C84)</f>
        <v>CNPJ: 22.900.819/0001-48</v>
      </c>
      <c r="D125" s="217"/>
      <c r="E125" s="217"/>
      <c r="F125" s="217"/>
      <c r="G125" s="218" t="str">
        <f>IF(G84="","",G84)</f>
        <v>02/2019</v>
      </c>
      <c r="H125" s="218"/>
      <c r="I125" s="218"/>
      <c r="J125" s="218"/>
      <c r="K125" s="218"/>
      <c r="L125" s="218"/>
      <c r="M125" s="219"/>
      <c r="N125" s="15"/>
      <c r="O125" s="213"/>
      <c r="P125" s="215"/>
      <c r="Q125" s="168" t="s">
        <v>31</v>
      </c>
      <c r="R125" s="25"/>
    </row>
    <row r="126" spans="2:18">
      <c r="B126" s="21"/>
      <c r="C126" s="183"/>
      <c r="D126" s="183"/>
      <c r="E126" s="183"/>
      <c r="F126" s="183"/>
      <c r="G126" s="183"/>
      <c r="H126" s="183"/>
      <c r="I126" s="183"/>
      <c r="J126" s="183"/>
      <c r="K126" s="183"/>
      <c r="L126" s="183"/>
      <c r="M126" s="183"/>
      <c r="N126" s="15"/>
      <c r="O126" s="213"/>
      <c r="P126" s="215"/>
      <c r="Q126" s="168"/>
      <c r="R126" s="25"/>
    </row>
    <row r="127" spans="2:18">
      <c r="B127" s="22"/>
      <c r="C127" s="49" t="s">
        <v>9</v>
      </c>
      <c r="D127" s="159" t="s">
        <v>10</v>
      </c>
      <c r="E127" s="159"/>
      <c r="F127" s="159"/>
      <c r="G127" s="50" t="s">
        <v>11</v>
      </c>
      <c r="H127" s="51" t="s">
        <v>12</v>
      </c>
      <c r="I127" s="51" t="s">
        <v>13</v>
      </c>
      <c r="J127" s="51" t="s">
        <v>14</v>
      </c>
      <c r="K127" s="101" t="s">
        <v>15</v>
      </c>
      <c r="L127" s="52" t="s">
        <v>16</v>
      </c>
      <c r="M127" s="102" t="s">
        <v>17</v>
      </c>
      <c r="N127" s="16"/>
      <c r="O127" s="213"/>
      <c r="P127" s="215"/>
      <c r="Q127" s="168"/>
      <c r="R127" s="26"/>
    </row>
    <row r="128" spans="2:18">
      <c r="B128" s="21"/>
      <c r="C128" s="34">
        <f>IF(C87="","",C87)</f>
        <v>1</v>
      </c>
      <c r="D128" s="220" t="str">
        <f>IF(D87="","",D87)</f>
        <v>ANA PAULA PIRES DE CARVALHO</v>
      </c>
      <c r="E128" s="220"/>
      <c r="F128" s="220"/>
      <c r="G128" s="221" t="str">
        <f>IF(G87="","",G87)</f>
        <v>RECEPCIONISTA</v>
      </c>
      <c r="H128" s="221"/>
      <c r="I128" s="221"/>
      <c r="J128" s="221"/>
      <c r="K128" s="221"/>
      <c r="L128" s="221"/>
      <c r="M128" s="222"/>
      <c r="N128" s="15"/>
      <c r="O128" s="213"/>
      <c r="P128" s="215"/>
      <c r="Q128" s="168"/>
      <c r="R128" s="25"/>
    </row>
    <row r="129" spans="2:18">
      <c r="B129" s="21"/>
      <c r="C129" s="183"/>
      <c r="D129" s="183"/>
      <c r="E129" s="183"/>
      <c r="F129" s="183"/>
      <c r="G129" s="183"/>
      <c r="H129" s="183"/>
      <c r="I129" s="183"/>
      <c r="J129" s="183"/>
      <c r="K129" s="183"/>
      <c r="L129" s="183"/>
      <c r="M129" s="183"/>
      <c r="N129" s="15"/>
      <c r="O129" s="213"/>
      <c r="P129" s="215"/>
      <c r="Q129" s="168"/>
      <c r="R129" s="25"/>
    </row>
    <row r="130" spans="2:18">
      <c r="B130" s="21"/>
      <c r="C130" s="106" t="s">
        <v>22</v>
      </c>
      <c r="D130" s="223" t="s">
        <v>1</v>
      </c>
      <c r="E130" s="223"/>
      <c r="F130" s="223"/>
      <c r="G130" s="106" t="s">
        <v>23</v>
      </c>
      <c r="H130" s="223" t="s">
        <v>2</v>
      </c>
      <c r="I130" s="223"/>
      <c r="J130" s="223"/>
      <c r="K130" s="223" t="s">
        <v>3</v>
      </c>
      <c r="L130" s="223"/>
      <c r="M130" s="223"/>
      <c r="N130" s="15"/>
      <c r="O130" s="213"/>
      <c r="P130" s="215"/>
      <c r="Q130" s="168"/>
      <c r="R130" s="25"/>
    </row>
    <row r="131" spans="2:18">
      <c r="B131" s="21"/>
      <c r="C131" s="99"/>
      <c r="D131" s="126"/>
      <c r="E131" s="126"/>
      <c r="F131" s="126"/>
      <c r="G131" s="99"/>
      <c r="H131" s="126"/>
      <c r="I131" s="126"/>
      <c r="J131" s="126"/>
      <c r="K131" s="126"/>
      <c r="L131" s="126"/>
      <c r="M131" s="126"/>
      <c r="N131" s="15"/>
      <c r="O131" s="213"/>
      <c r="P131" s="215"/>
      <c r="Q131" s="168"/>
      <c r="R131" s="25"/>
    </row>
    <row r="132" spans="2:18">
      <c r="B132" s="21"/>
      <c r="C132" s="61">
        <f>IF(C91="","",C91)</f>
        <v>101</v>
      </c>
      <c r="D132" s="224" t="str">
        <f>IF(D91="","",D91)</f>
        <v>SALARIO</v>
      </c>
      <c r="E132" s="224"/>
      <c r="F132" s="224"/>
      <c r="G132" s="71" t="str">
        <f>IF(G91="","",G91)</f>
        <v>30 d</v>
      </c>
      <c r="H132" s="225">
        <f>IF(H91="","",H91)</f>
        <v>660</v>
      </c>
      <c r="I132" s="226"/>
      <c r="J132" s="226"/>
      <c r="K132" s="227" t="str">
        <f>IF(K91="","",K91)</f>
        <v/>
      </c>
      <c r="L132" s="228"/>
      <c r="M132" s="228"/>
      <c r="N132" s="15"/>
      <c r="O132" s="213"/>
      <c r="P132" s="215"/>
      <c r="Q132" s="168"/>
      <c r="R132" s="25"/>
    </row>
    <row r="133" spans="2:18">
      <c r="B133" s="21"/>
      <c r="C133" s="62">
        <f t="shared" ref="C133:D133" si="32">IF(C92="","",C92)</f>
        <v>988</v>
      </c>
      <c r="D133" s="169" t="str">
        <f t="shared" si="32"/>
        <v>SALARIO FAMILIA</v>
      </c>
      <c r="E133" s="169"/>
      <c r="F133" s="169"/>
      <c r="G133" s="72" t="str">
        <f t="shared" ref="G133:H133" si="33">IF(G92="","",G92)</f>
        <v>01</v>
      </c>
      <c r="H133" s="170">
        <f t="shared" si="33"/>
        <v>32.799999999999997</v>
      </c>
      <c r="I133" s="171"/>
      <c r="J133" s="171"/>
      <c r="K133" s="172" t="str">
        <f>IF(K92="","",K92)</f>
        <v/>
      </c>
      <c r="L133" s="173"/>
      <c r="M133" s="173"/>
      <c r="N133" s="15"/>
      <c r="O133" s="213"/>
      <c r="P133" s="215"/>
      <c r="Q133" s="168"/>
      <c r="R133" s="25"/>
    </row>
    <row r="134" spans="2:18">
      <c r="B134" s="21"/>
      <c r="C134" s="62">
        <f t="shared" ref="C134:D134" si="34">IF(C93="","",C93)</f>
        <v>973</v>
      </c>
      <c r="D134" s="169" t="str">
        <f t="shared" si="34"/>
        <v>INSS</v>
      </c>
      <c r="E134" s="169"/>
      <c r="F134" s="169"/>
      <c r="G134" s="95">
        <f t="shared" ref="G134:G135" si="35">IF(G93="","",G93)</f>
        <v>0.08</v>
      </c>
      <c r="H134" s="170" t="str">
        <f>IF(H93="","",H93)</f>
        <v/>
      </c>
      <c r="I134" s="171"/>
      <c r="J134" s="171"/>
      <c r="K134" s="172">
        <f>IF(K93="","",K93)</f>
        <v>52.800000000000004</v>
      </c>
      <c r="L134" s="173"/>
      <c r="M134" s="173"/>
      <c r="N134" s="15"/>
      <c r="O134" s="213"/>
      <c r="P134" s="215"/>
      <c r="Q134" s="168"/>
      <c r="R134" s="25"/>
    </row>
    <row r="135" spans="2:18">
      <c r="B135" s="21"/>
      <c r="C135" s="62" t="str">
        <f t="shared" ref="C135:D135" si="36">IF(C94="","",C94)</f>
        <v/>
      </c>
      <c r="D135" s="169" t="str">
        <f t="shared" si="36"/>
        <v/>
      </c>
      <c r="E135" s="169"/>
      <c r="F135" s="169"/>
      <c r="G135" s="72" t="str">
        <f t="shared" si="35"/>
        <v/>
      </c>
      <c r="H135" s="170" t="str">
        <f>IF(H94="","",H94)</f>
        <v/>
      </c>
      <c r="I135" s="171"/>
      <c r="J135" s="171"/>
      <c r="K135" s="172" t="str">
        <f>IF(K94="","",K94)</f>
        <v/>
      </c>
      <c r="L135" s="173"/>
      <c r="M135" s="173"/>
      <c r="N135" s="15"/>
      <c r="O135" s="213"/>
      <c r="P135" s="215"/>
      <c r="Q135" s="168"/>
      <c r="R135" s="25"/>
    </row>
    <row r="136" spans="2:18">
      <c r="B136" s="21"/>
      <c r="C136" s="62" t="str">
        <f t="shared" ref="C136:D136" si="37">IF(C95="","",C95)</f>
        <v/>
      </c>
      <c r="D136" s="169" t="str">
        <f t="shared" si="37"/>
        <v/>
      </c>
      <c r="E136" s="169"/>
      <c r="F136" s="169"/>
      <c r="G136" s="72" t="str">
        <f t="shared" ref="G136:H136" si="38">IF(G95="","",G95)</f>
        <v/>
      </c>
      <c r="H136" s="170" t="str">
        <f t="shared" si="38"/>
        <v/>
      </c>
      <c r="I136" s="171"/>
      <c r="J136" s="171"/>
      <c r="K136" s="172" t="str">
        <f t="shared" ref="K136:K149" si="39">IF(K95="","",K95)</f>
        <v/>
      </c>
      <c r="L136" s="173"/>
      <c r="M136" s="173"/>
      <c r="N136" s="15"/>
      <c r="O136" s="213"/>
      <c r="P136" s="215"/>
      <c r="Q136" s="168"/>
      <c r="R136" s="25"/>
    </row>
    <row r="137" spans="2:18">
      <c r="B137" s="21"/>
      <c r="C137" s="62" t="str">
        <f t="shared" ref="C137:D137" si="40">IF(C96="","",C96)</f>
        <v/>
      </c>
      <c r="D137" s="169" t="str">
        <f t="shared" si="40"/>
        <v/>
      </c>
      <c r="E137" s="169"/>
      <c r="F137" s="169"/>
      <c r="G137" s="72" t="str">
        <f t="shared" ref="G137:H137" si="41">IF(G96="","",G96)</f>
        <v/>
      </c>
      <c r="H137" s="170" t="str">
        <f t="shared" si="41"/>
        <v/>
      </c>
      <c r="I137" s="171"/>
      <c r="J137" s="171"/>
      <c r="K137" s="172" t="str">
        <f t="shared" si="39"/>
        <v/>
      </c>
      <c r="L137" s="173"/>
      <c r="M137" s="173"/>
      <c r="N137" s="15"/>
      <c r="O137" s="213"/>
      <c r="P137" s="215"/>
      <c r="Q137" s="168"/>
      <c r="R137" s="25"/>
    </row>
    <row r="138" spans="2:18">
      <c r="B138" s="21"/>
      <c r="C138" s="62" t="str">
        <f t="shared" ref="C138:D138" si="42">IF(C97="","",C97)</f>
        <v/>
      </c>
      <c r="D138" s="169" t="str">
        <f t="shared" si="42"/>
        <v/>
      </c>
      <c r="E138" s="169"/>
      <c r="F138" s="169"/>
      <c r="G138" s="72" t="str">
        <f t="shared" ref="G138:H138" si="43">IF(G97="","",G97)</f>
        <v/>
      </c>
      <c r="H138" s="170" t="str">
        <f t="shared" si="43"/>
        <v/>
      </c>
      <c r="I138" s="171"/>
      <c r="J138" s="171"/>
      <c r="K138" s="172" t="str">
        <f t="shared" si="39"/>
        <v/>
      </c>
      <c r="L138" s="173"/>
      <c r="M138" s="173"/>
      <c r="N138" s="15"/>
      <c r="O138" s="213"/>
      <c r="P138" s="215"/>
      <c r="Q138" s="168"/>
      <c r="R138" s="25"/>
    </row>
    <row r="139" spans="2:18">
      <c r="B139" s="21"/>
      <c r="C139" s="62" t="str">
        <f t="shared" ref="C139:D139" si="44">IF(C98="","",C98)</f>
        <v/>
      </c>
      <c r="D139" s="169" t="str">
        <f t="shared" si="44"/>
        <v/>
      </c>
      <c r="E139" s="169"/>
      <c r="F139" s="169"/>
      <c r="G139" s="72" t="str">
        <f t="shared" ref="G139:H139" si="45">IF(G98="","",G98)</f>
        <v/>
      </c>
      <c r="H139" s="170" t="str">
        <f t="shared" si="45"/>
        <v/>
      </c>
      <c r="I139" s="171"/>
      <c r="J139" s="171"/>
      <c r="K139" s="172" t="str">
        <f t="shared" si="39"/>
        <v/>
      </c>
      <c r="L139" s="173"/>
      <c r="M139" s="173"/>
      <c r="N139" s="15"/>
      <c r="O139" s="213"/>
      <c r="P139" s="215"/>
      <c r="Q139" s="168"/>
      <c r="R139" s="25"/>
    </row>
    <row r="140" spans="2:18">
      <c r="B140" s="21"/>
      <c r="C140" s="62" t="str">
        <f t="shared" ref="C140:D140" si="46">IF(C99="","",C99)</f>
        <v/>
      </c>
      <c r="D140" s="169" t="str">
        <f t="shared" si="46"/>
        <v/>
      </c>
      <c r="E140" s="169"/>
      <c r="F140" s="169"/>
      <c r="G140" s="72" t="str">
        <f t="shared" ref="G140:H140" si="47">IF(G99="","",G99)</f>
        <v/>
      </c>
      <c r="H140" s="170" t="str">
        <f t="shared" si="47"/>
        <v/>
      </c>
      <c r="I140" s="171"/>
      <c r="J140" s="171"/>
      <c r="K140" s="172" t="str">
        <f t="shared" si="39"/>
        <v/>
      </c>
      <c r="L140" s="173"/>
      <c r="M140" s="173"/>
      <c r="N140" s="15"/>
      <c r="O140" s="213"/>
      <c r="P140" s="215"/>
      <c r="Q140" s="168"/>
      <c r="R140" s="25"/>
    </row>
    <row r="141" spans="2:18">
      <c r="B141" s="21"/>
      <c r="C141" s="62" t="str">
        <f t="shared" ref="C141:D141" si="48">IF(C100="","",C100)</f>
        <v/>
      </c>
      <c r="D141" s="169" t="str">
        <f t="shared" si="48"/>
        <v/>
      </c>
      <c r="E141" s="169"/>
      <c r="F141" s="169"/>
      <c r="G141" s="72" t="str">
        <f t="shared" ref="G141:H141" si="49">IF(G100="","",G100)</f>
        <v/>
      </c>
      <c r="H141" s="170" t="str">
        <f t="shared" si="49"/>
        <v/>
      </c>
      <c r="I141" s="171"/>
      <c r="J141" s="171"/>
      <c r="K141" s="172" t="str">
        <f t="shared" si="39"/>
        <v/>
      </c>
      <c r="L141" s="173"/>
      <c r="M141" s="173"/>
      <c r="N141" s="15"/>
      <c r="O141" s="213"/>
      <c r="P141" s="215"/>
      <c r="Q141" s="168"/>
      <c r="R141" s="25"/>
    </row>
    <row r="142" spans="2:18">
      <c r="B142" s="21"/>
      <c r="C142" s="62" t="str">
        <f t="shared" ref="C142:D142" si="50">IF(C101="","",C101)</f>
        <v/>
      </c>
      <c r="D142" s="169" t="str">
        <f t="shared" si="50"/>
        <v/>
      </c>
      <c r="E142" s="169"/>
      <c r="F142" s="169"/>
      <c r="G142" s="72" t="str">
        <f t="shared" ref="G142:H142" si="51">IF(G101="","",G101)</f>
        <v/>
      </c>
      <c r="H142" s="170" t="str">
        <f t="shared" si="51"/>
        <v/>
      </c>
      <c r="I142" s="171"/>
      <c r="J142" s="171"/>
      <c r="K142" s="172" t="str">
        <f t="shared" si="39"/>
        <v/>
      </c>
      <c r="L142" s="173"/>
      <c r="M142" s="173"/>
      <c r="N142" s="15"/>
      <c r="O142" s="213"/>
      <c r="P142" s="215"/>
      <c r="Q142" s="168"/>
      <c r="R142" s="25"/>
    </row>
    <row r="143" spans="2:18">
      <c r="B143" s="21"/>
      <c r="C143" s="62" t="str">
        <f t="shared" ref="C143:D143" si="52">IF(C102="","",C102)</f>
        <v/>
      </c>
      <c r="D143" s="169" t="str">
        <f t="shared" si="52"/>
        <v/>
      </c>
      <c r="E143" s="169"/>
      <c r="F143" s="169"/>
      <c r="G143" s="72" t="str">
        <f t="shared" ref="G143:H143" si="53">IF(G102="","",G102)</f>
        <v/>
      </c>
      <c r="H143" s="170" t="str">
        <f t="shared" si="53"/>
        <v/>
      </c>
      <c r="I143" s="171"/>
      <c r="J143" s="171"/>
      <c r="K143" s="172" t="str">
        <f t="shared" si="39"/>
        <v/>
      </c>
      <c r="L143" s="173"/>
      <c r="M143" s="173"/>
      <c r="N143" s="15"/>
      <c r="O143" s="213"/>
      <c r="P143" s="67"/>
      <c r="Q143" s="68"/>
      <c r="R143" s="25"/>
    </row>
    <row r="144" spans="2:18">
      <c r="B144" s="21"/>
      <c r="C144" s="62" t="str">
        <f t="shared" ref="C144:D144" si="54">IF(C103="","",C103)</f>
        <v/>
      </c>
      <c r="D144" s="169" t="str">
        <f t="shared" si="54"/>
        <v/>
      </c>
      <c r="E144" s="169"/>
      <c r="F144" s="169"/>
      <c r="G144" s="72" t="str">
        <f t="shared" ref="G144:H144" si="55">IF(G103="","",G103)</f>
        <v/>
      </c>
      <c r="H144" s="170" t="str">
        <f t="shared" si="55"/>
        <v/>
      </c>
      <c r="I144" s="171"/>
      <c r="J144" s="171"/>
      <c r="K144" s="172" t="str">
        <f t="shared" si="39"/>
        <v/>
      </c>
      <c r="L144" s="173"/>
      <c r="M144" s="173"/>
      <c r="N144" s="15"/>
      <c r="O144" s="213"/>
      <c r="P144" s="67"/>
      <c r="Q144" s="68"/>
      <c r="R144" s="25"/>
    </row>
    <row r="145" spans="2:18" ht="12.75" customHeight="1">
      <c r="B145" s="21"/>
      <c r="C145" s="62" t="str">
        <f t="shared" ref="C145:D145" si="56">IF(C104="","",C104)</f>
        <v/>
      </c>
      <c r="D145" s="169" t="str">
        <f t="shared" si="56"/>
        <v/>
      </c>
      <c r="E145" s="169"/>
      <c r="F145" s="169"/>
      <c r="G145" s="72" t="str">
        <f t="shared" ref="G145:H145" si="57">IF(G104="","",G104)</f>
        <v/>
      </c>
      <c r="H145" s="170" t="str">
        <f t="shared" si="57"/>
        <v/>
      </c>
      <c r="I145" s="171"/>
      <c r="J145" s="171"/>
      <c r="K145" s="172" t="str">
        <f t="shared" si="39"/>
        <v/>
      </c>
      <c r="L145" s="173"/>
      <c r="M145" s="173"/>
      <c r="N145" s="15"/>
      <c r="O145" s="213"/>
      <c r="P145" s="167" t="s">
        <v>33</v>
      </c>
      <c r="Q145" s="168" t="s">
        <v>30</v>
      </c>
      <c r="R145" s="25"/>
    </row>
    <row r="146" spans="2:18">
      <c r="B146" s="21"/>
      <c r="C146" s="62" t="str">
        <f t="shared" ref="C146:D146" si="58">IF(C105="","",C105)</f>
        <v/>
      </c>
      <c r="D146" s="169" t="str">
        <f t="shared" si="58"/>
        <v/>
      </c>
      <c r="E146" s="169"/>
      <c r="F146" s="169"/>
      <c r="G146" s="72" t="str">
        <f t="shared" ref="G146:H146" si="59">IF(G105="","",G105)</f>
        <v/>
      </c>
      <c r="H146" s="170" t="str">
        <f t="shared" si="59"/>
        <v/>
      </c>
      <c r="I146" s="171"/>
      <c r="J146" s="171"/>
      <c r="K146" s="172" t="str">
        <f t="shared" si="39"/>
        <v/>
      </c>
      <c r="L146" s="173"/>
      <c r="M146" s="173"/>
      <c r="N146" s="15"/>
      <c r="O146" s="213"/>
      <c r="P146" s="167"/>
      <c r="Q146" s="168"/>
      <c r="R146" s="25"/>
    </row>
    <row r="147" spans="2:18">
      <c r="B147" s="21"/>
      <c r="C147" s="62" t="str">
        <f t="shared" ref="C147:D147" si="60">IF(C106="","",C106)</f>
        <v/>
      </c>
      <c r="D147" s="169" t="str">
        <f t="shared" si="60"/>
        <v/>
      </c>
      <c r="E147" s="169"/>
      <c r="F147" s="169"/>
      <c r="G147" s="72" t="str">
        <f t="shared" ref="G147:H147" si="61">IF(G106="","",G106)</f>
        <v/>
      </c>
      <c r="H147" s="170" t="str">
        <f t="shared" si="61"/>
        <v/>
      </c>
      <c r="I147" s="171"/>
      <c r="J147" s="171"/>
      <c r="K147" s="172" t="str">
        <f t="shared" si="39"/>
        <v/>
      </c>
      <c r="L147" s="173"/>
      <c r="M147" s="173"/>
      <c r="N147" s="15"/>
      <c r="O147" s="213"/>
      <c r="P147" s="167"/>
      <c r="Q147" s="168"/>
      <c r="R147" s="25"/>
    </row>
    <row r="148" spans="2:18">
      <c r="B148" s="21"/>
      <c r="C148" s="62" t="str">
        <f t="shared" ref="C148:D148" si="62">IF(C107="","",C107)</f>
        <v/>
      </c>
      <c r="D148" s="169" t="str">
        <f t="shared" si="62"/>
        <v/>
      </c>
      <c r="E148" s="169"/>
      <c r="F148" s="169"/>
      <c r="G148" s="72" t="str">
        <f t="shared" ref="G148:H148" si="63">IF(G107="","",G107)</f>
        <v/>
      </c>
      <c r="H148" s="170" t="str">
        <f t="shared" si="63"/>
        <v/>
      </c>
      <c r="I148" s="171"/>
      <c r="J148" s="171"/>
      <c r="K148" s="172" t="str">
        <f t="shared" si="39"/>
        <v/>
      </c>
      <c r="L148" s="173"/>
      <c r="M148" s="173"/>
      <c r="N148" s="15"/>
      <c r="O148" s="213"/>
      <c r="P148" s="167"/>
      <c r="Q148" s="168"/>
      <c r="R148" s="25"/>
    </row>
    <row r="149" spans="2:18">
      <c r="B149" s="21"/>
      <c r="C149" s="63" t="str">
        <f>IF(C108="","",C108)</f>
        <v/>
      </c>
      <c r="D149" s="174" t="str">
        <f>IF(D108="","",D108)</f>
        <v/>
      </c>
      <c r="E149" s="174"/>
      <c r="F149" s="174"/>
      <c r="G149" s="107" t="str">
        <f>IF(G108="","",G108)</f>
        <v/>
      </c>
      <c r="H149" s="175" t="str">
        <f>IF(H108="","",H108)</f>
        <v/>
      </c>
      <c r="I149" s="176"/>
      <c r="J149" s="176"/>
      <c r="K149" s="177" t="str">
        <f t="shared" si="39"/>
        <v/>
      </c>
      <c r="L149" s="178"/>
      <c r="M149" s="178"/>
      <c r="N149" s="15"/>
      <c r="O149" s="213"/>
      <c r="P149" s="167"/>
      <c r="Q149" s="168"/>
      <c r="R149" s="25"/>
    </row>
    <row r="150" spans="2:18">
      <c r="B150" s="21"/>
      <c r="C150" s="37"/>
      <c r="D150" s="135"/>
      <c r="E150" s="135"/>
      <c r="F150" s="135"/>
      <c r="G150" s="37"/>
      <c r="H150" s="119"/>
      <c r="I150" s="119"/>
      <c r="J150" s="119"/>
      <c r="K150" s="119"/>
      <c r="L150" s="119"/>
      <c r="M150" s="119"/>
      <c r="N150" s="15"/>
      <c r="O150" s="213"/>
      <c r="P150" s="167"/>
      <c r="Q150" s="168"/>
      <c r="R150" s="25"/>
    </row>
    <row r="151" spans="2:18">
      <c r="B151" s="21"/>
      <c r="C151" s="179"/>
      <c r="D151" s="180"/>
      <c r="E151" s="180"/>
      <c r="F151" s="180"/>
      <c r="G151" s="181"/>
      <c r="H151" s="188" t="s">
        <v>24</v>
      </c>
      <c r="I151" s="189"/>
      <c r="J151" s="190"/>
      <c r="K151" s="191" t="s">
        <v>4</v>
      </c>
      <c r="L151" s="192"/>
      <c r="M151" s="193"/>
      <c r="N151" s="15"/>
      <c r="O151" s="213"/>
      <c r="P151" s="167"/>
      <c r="Q151" s="168"/>
      <c r="R151" s="25"/>
    </row>
    <row r="152" spans="2:18">
      <c r="B152" s="21"/>
      <c r="C152" s="182"/>
      <c r="D152" s="183"/>
      <c r="E152" s="183"/>
      <c r="F152" s="183"/>
      <c r="G152" s="184"/>
      <c r="H152" s="194">
        <f>IF(H111="","",H111)</f>
        <v>692.8</v>
      </c>
      <c r="I152" s="195"/>
      <c r="J152" s="196"/>
      <c r="K152" s="197">
        <f>IF(K111="","",K111)</f>
        <v>52.800000000000004</v>
      </c>
      <c r="L152" s="198"/>
      <c r="M152" s="199"/>
      <c r="N152" s="15"/>
      <c r="O152" s="213"/>
      <c r="P152" s="167"/>
      <c r="Q152" s="168"/>
      <c r="R152" s="25"/>
    </row>
    <row r="153" spans="2:18">
      <c r="B153" s="21"/>
      <c r="C153" s="182"/>
      <c r="D153" s="183"/>
      <c r="E153" s="183"/>
      <c r="F153" s="183"/>
      <c r="G153" s="184"/>
      <c r="H153" s="141"/>
      <c r="I153" s="141"/>
      <c r="J153" s="141"/>
      <c r="K153" s="141"/>
      <c r="L153" s="141"/>
      <c r="M153" s="141"/>
      <c r="N153" s="15"/>
      <c r="O153" s="213"/>
      <c r="P153" s="167"/>
      <c r="Q153" s="168"/>
      <c r="R153" s="25"/>
    </row>
    <row r="154" spans="2:18">
      <c r="B154" s="21"/>
      <c r="C154" s="182"/>
      <c r="D154" s="183"/>
      <c r="E154" s="183"/>
      <c r="F154" s="183"/>
      <c r="G154" s="184"/>
      <c r="H154" s="200" t="s">
        <v>25</v>
      </c>
      <c r="I154" s="201"/>
      <c r="J154" s="201"/>
      <c r="K154" s="152">
        <f>IF(K113="","",K113)</f>
        <v>640</v>
      </c>
      <c r="L154" s="153"/>
      <c r="M154" s="154"/>
      <c r="N154" s="15"/>
      <c r="O154" s="213"/>
      <c r="P154" s="167"/>
      <c r="Q154" s="168"/>
      <c r="R154" s="25"/>
    </row>
    <row r="155" spans="2:18">
      <c r="B155" s="21"/>
      <c r="C155" s="185"/>
      <c r="D155" s="186"/>
      <c r="E155" s="186"/>
      <c r="F155" s="186"/>
      <c r="G155" s="187"/>
      <c r="H155" s="202"/>
      <c r="I155" s="203"/>
      <c r="J155" s="203"/>
      <c r="K155" s="155"/>
      <c r="L155" s="156"/>
      <c r="M155" s="157"/>
      <c r="N155" s="15"/>
      <c r="O155" s="213"/>
      <c r="P155" s="167"/>
      <c r="Q155" s="168"/>
      <c r="R155" s="25"/>
    </row>
    <row r="156" spans="2:18">
      <c r="B156" s="21"/>
      <c r="C156" s="104"/>
      <c r="D156" s="104"/>
      <c r="E156" s="104"/>
      <c r="F156" s="104"/>
      <c r="G156" s="104"/>
      <c r="H156" s="39"/>
      <c r="I156" s="39"/>
      <c r="J156" s="39"/>
      <c r="K156" s="40"/>
      <c r="L156" s="40"/>
      <c r="M156" s="40"/>
      <c r="N156" s="15"/>
      <c r="O156" s="213"/>
      <c r="P156" s="167"/>
      <c r="Q156" s="168"/>
      <c r="R156" s="25"/>
    </row>
    <row r="157" spans="2:18">
      <c r="B157" s="23"/>
      <c r="C157" s="158" t="s">
        <v>18</v>
      </c>
      <c r="D157" s="159"/>
      <c r="E157" s="51" t="s">
        <v>19</v>
      </c>
      <c r="F157" s="100" t="s">
        <v>20</v>
      </c>
      <c r="G157" s="159" t="s">
        <v>21</v>
      </c>
      <c r="H157" s="159"/>
      <c r="I157" s="160" t="s">
        <v>27</v>
      </c>
      <c r="J157" s="160"/>
      <c r="K157" s="160"/>
      <c r="L157" s="160" t="s">
        <v>26</v>
      </c>
      <c r="M157" s="161"/>
      <c r="N157" s="17"/>
      <c r="O157" s="213"/>
      <c r="P157" s="167"/>
      <c r="Q157" s="168"/>
      <c r="R157" s="27"/>
    </row>
    <row r="158" spans="2:18">
      <c r="B158" s="21"/>
      <c r="C158" s="162">
        <f>IF(C117="","",C117)</f>
        <v>0</v>
      </c>
      <c r="D158" s="163"/>
      <c r="E158" s="73">
        <f>IF(E117="","",E117)</f>
        <v>0</v>
      </c>
      <c r="F158" s="103">
        <f>IF(F117="","",F117)</f>
        <v>0</v>
      </c>
      <c r="G158" s="163">
        <f>IF(G117="","",G117)</f>
        <v>0</v>
      </c>
      <c r="H158" s="163"/>
      <c r="I158" s="164">
        <f>IF(I117="","",I117)</f>
        <v>-52.800000000000004</v>
      </c>
      <c r="J158" s="164"/>
      <c r="K158" s="164"/>
      <c r="L158" s="165" t="str">
        <f>IF(L117="","",L117)</f>
        <v>-</v>
      </c>
      <c r="M158" s="166"/>
      <c r="N158" s="15"/>
      <c r="O158" s="214"/>
      <c r="P158" s="69"/>
      <c r="Q158" s="70"/>
      <c r="R158" s="25"/>
    </row>
    <row r="159" spans="2:18">
      <c r="B159" s="24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8"/>
    </row>
    <row r="160" spans="2:18">
      <c r="B160" s="18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20"/>
    </row>
    <row r="161" spans="2:18">
      <c r="B161" s="21"/>
      <c r="C161" s="242" t="s">
        <v>45</v>
      </c>
      <c r="D161" s="243"/>
      <c r="E161" s="243"/>
      <c r="F161" s="243"/>
      <c r="G161" s="208" t="s">
        <v>5</v>
      </c>
      <c r="H161" s="208"/>
      <c r="I161" s="208"/>
      <c r="J161" s="208"/>
      <c r="K161" s="208"/>
      <c r="L161" s="208"/>
      <c r="M161" s="209"/>
      <c r="N161" s="15"/>
      <c r="O161" s="212" t="s">
        <v>29</v>
      </c>
      <c r="P161" s="64"/>
      <c r="Q161" s="65"/>
      <c r="R161" s="25"/>
    </row>
    <row r="162" spans="2:18" ht="12.75" customHeight="1">
      <c r="B162" s="21"/>
      <c r="C162" s="244"/>
      <c r="D162" s="245"/>
      <c r="E162" s="245"/>
      <c r="F162" s="245"/>
      <c r="G162" s="210"/>
      <c r="H162" s="210"/>
      <c r="I162" s="210"/>
      <c r="J162" s="210"/>
      <c r="K162" s="210"/>
      <c r="L162" s="210"/>
      <c r="M162" s="211"/>
      <c r="N162" s="15"/>
      <c r="O162" s="213"/>
      <c r="P162" s="215" t="s">
        <v>32</v>
      </c>
      <c r="Q162" s="66"/>
      <c r="R162" s="25"/>
    </row>
    <row r="163" spans="2:18" ht="12.75" customHeight="1">
      <c r="B163" s="21"/>
      <c r="C163" s="246" t="s">
        <v>46</v>
      </c>
      <c r="D163" s="247"/>
      <c r="E163" s="247"/>
      <c r="F163" s="247"/>
      <c r="G163" s="218" t="s">
        <v>49</v>
      </c>
      <c r="H163" s="218"/>
      <c r="I163" s="218"/>
      <c r="J163" s="218"/>
      <c r="K163" s="218"/>
      <c r="L163" s="218"/>
      <c r="M163" s="219"/>
      <c r="N163" s="15"/>
      <c r="O163" s="213"/>
      <c r="P163" s="215"/>
      <c r="Q163" s="168" t="s">
        <v>31</v>
      </c>
      <c r="R163" s="25"/>
    </row>
    <row r="164" spans="2:18" ht="12.75" customHeight="1">
      <c r="B164" s="21"/>
      <c r="C164" s="183"/>
      <c r="D164" s="183"/>
      <c r="E164" s="183"/>
      <c r="F164" s="183"/>
      <c r="G164" s="183"/>
      <c r="H164" s="183"/>
      <c r="I164" s="183"/>
      <c r="J164" s="183"/>
      <c r="K164" s="183"/>
      <c r="L164" s="183"/>
      <c r="M164" s="183"/>
      <c r="N164" s="15"/>
      <c r="O164" s="213"/>
      <c r="P164" s="215"/>
      <c r="Q164" s="168"/>
      <c r="R164" s="25"/>
    </row>
    <row r="165" spans="2:18">
      <c r="B165" s="22"/>
      <c r="C165" s="49" t="s">
        <v>9</v>
      </c>
      <c r="D165" s="159" t="s">
        <v>10</v>
      </c>
      <c r="E165" s="159"/>
      <c r="F165" s="159"/>
      <c r="G165" s="50" t="s">
        <v>11</v>
      </c>
      <c r="H165" s="51" t="s">
        <v>12</v>
      </c>
      <c r="I165" s="51" t="s">
        <v>13</v>
      </c>
      <c r="J165" s="51" t="s">
        <v>14</v>
      </c>
      <c r="K165" s="79" t="s">
        <v>15</v>
      </c>
      <c r="L165" s="52" t="s">
        <v>16</v>
      </c>
      <c r="M165" s="80" t="s">
        <v>17</v>
      </c>
      <c r="N165" s="16"/>
      <c r="O165" s="213"/>
      <c r="P165" s="215"/>
      <c r="Q165" s="168"/>
      <c r="R165" s="26"/>
    </row>
    <row r="166" spans="2:18">
      <c r="B166" s="21"/>
      <c r="C166" s="34">
        <v>1</v>
      </c>
      <c r="D166" s="220" t="str">
        <f>IFERROR(VLOOKUP(C166,'Base de Dados'!C:D,2,0),"")</f>
        <v>ANA PAULA PIRES DE CARVALHO</v>
      </c>
      <c r="E166" s="220"/>
      <c r="F166" s="220"/>
      <c r="G166" s="220" t="str">
        <f>IFERROR(VLOOKUP(C166,'Base de Dados'!C:E,3,0),"")</f>
        <v>RECEPCIONISTA</v>
      </c>
      <c r="H166" s="220"/>
      <c r="I166" s="220"/>
      <c r="J166" s="220"/>
      <c r="K166" s="220"/>
      <c r="L166" s="220"/>
      <c r="M166" s="248"/>
      <c r="N166" s="15"/>
      <c r="O166" s="213"/>
      <c r="P166" s="215"/>
      <c r="Q166" s="168"/>
      <c r="R166" s="25"/>
    </row>
    <row r="167" spans="2:18">
      <c r="B167" s="21"/>
      <c r="C167" s="183"/>
      <c r="D167" s="183"/>
      <c r="E167" s="183"/>
      <c r="F167" s="183"/>
      <c r="G167" s="183"/>
      <c r="H167" s="183"/>
      <c r="I167" s="183"/>
      <c r="J167" s="183"/>
      <c r="K167" s="183"/>
      <c r="L167" s="183"/>
      <c r="M167" s="183"/>
      <c r="N167" s="15"/>
      <c r="O167" s="213"/>
      <c r="P167" s="215"/>
      <c r="Q167" s="168"/>
      <c r="R167" s="25"/>
    </row>
    <row r="168" spans="2:18">
      <c r="B168" s="21"/>
      <c r="C168" s="77" t="s">
        <v>22</v>
      </c>
      <c r="D168" s="223" t="s">
        <v>1</v>
      </c>
      <c r="E168" s="223"/>
      <c r="F168" s="223"/>
      <c r="G168" s="77" t="s">
        <v>23</v>
      </c>
      <c r="H168" s="223" t="s">
        <v>2</v>
      </c>
      <c r="I168" s="223"/>
      <c r="J168" s="223"/>
      <c r="K168" s="223" t="s">
        <v>3</v>
      </c>
      <c r="L168" s="223"/>
      <c r="M168" s="223"/>
      <c r="N168" s="15"/>
      <c r="O168" s="213"/>
      <c r="P168" s="215"/>
      <c r="Q168" s="168"/>
      <c r="R168" s="25"/>
    </row>
    <row r="169" spans="2:18">
      <c r="B169" s="21"/>
      <c r="C169" s="74"/>
      <c r="D169" s="126"/>
      <c r="E169" s="126"/>
      <c r="F169" s="126"/>
      <c r="G169" s="74"/>
      <c r="H169" s="126"/>
      <c r="I169" s="126"/>
      <c r="J169" s="126"/>
      <c r="K169" s="126"/>
      <c r="L169" s="126"/>
      <c r="M169" s="126"/>
      <c r="N169" s="15"/>
      <c r="O169" s="213"/>
      <c r="P169" s="215"/>
      <c r="Q169" s="168"/>
      <c r="R169" s="25"/>
    </row>
    <row r="170" spans="2:18">
      <c r="B170" s="88">
        <v>1</v>
      </c>
      <c r="C170" s="61">
        <v>150</v>
      </c>
      <c r="D170" s="249" t="str">
        <f>IFERROR(VLOOKUP(C170,Configuração!A:B,2,0),"")</f>
        <v>13º SALARIO ADIANTADO</v>
      </c>
      <c r="E170" s="249"/>
      <c r="F170" s="249"/>
      <c r="G170" s="108">
        <v>12</v>
      </c>
      <c r="H170" s="250">
        <v>357.75</v>
      </c>
      <c r="I170" s="250"/>
      <c r="J170" s="250"/>
      <c r="K170" s="227" t="str">
        <f>IFERROR(IF(VLOOKUP(B170&amp;"-"&amp;$C$8,'Base de Dados'!B:J,9,0)=0,"",VLOOKUP(B170&amp;"-"&amp;$C$8,'Base de Dados'!B:J,9,0)),"")</f>
        <v/>
      </c>
      <c r="L170" s="227"/>
      <c r="M170" s="227"/>
      <c r="N170" s="15"/>
      <c r="O170" s="213"/>
      <c r="P170" s="215"/>
      <c r="Q170" s="168"/>
      <c r="R170" s="25"/>
    </row>
    <row r="171" spans="2:18">
      <c r="B171" s="88">
        <v>2</v>
      </c>
      <c r="C171" s="62"/>
      <c r="D171" s="169" t="str">
        <f>IFERROR(VLOOKUP(C171,Configuração!A:B,2,0),"")</f>
        <v/>
      </c>
      <c r="E171" s="169"/>
      <c r="F171" s="169"/>
      <c r="G171" s="91"/>
      <c r="H171" s="251"/>
      <c r="I171" s="251"/>
      <c r="J171" s="251"/>
      <c r="K171" s="252"/>
      <c r="L171" s="253"/>
      <c r="M171" s="254"/>
      <c r="N171" s="15"/>
      <c r="O171" s="213"/>
      <c r="P171" s="215"/>
      <c r="Q171" s="168"/>
      <c r="R171" s="25"/>
    </row>
    <row r="172" spans="2:18">
      <c r="B172" s="88">
        <v>3</v>
      </c>
      <c r="C172" s="62"/>
      <c r="D172" s="169" t="str">
        <f>IFERROR(VLOOKUP(C172,Configuração!A:B,2,0),"")</f>
        <v/>
      </c>
      <c r="E172" s="169"/>
      <c r="F172" s="169"/>
      <c r="G172" s="98"/>
      <c r="H172" s="239"/>
      <c r="I172" s="240"/>
      <c r="J172" s="241"/>
      <c r="K172" s="170"/>
      <c r="L172" s="170"/>
      <c r="M172" s="170"/>
      <c r="N172" s="15"/>
      <c r="O172" s="213"/>
      <c r="P172" s="215"/>
      <c r="Q172" s="168"/>
      <c r="R172" s="25"/>
    </row>
    <row r="173" spans="2:18">
      <c r="B173" s="88">
        <v>4</v>
      </c>
      <c r="C173" s="62"/>
      <c r="D173" s="236" t="str">
        <f>IFERROR(VLOOKUP(C173,Configuração!A:B,2,0),"")</f>
        <v/>
      </c>
      <c r="E173" s="237"/>
      <c r="F173" s="238"/>
      <c r="G173" s="97"/>
      <c r="H173" s="239"/>
      <c r="I173" s="240"/>
      <c r="J173" s="241"/>
      <c r="K173" s="170"/>
      <c r="L173" s="170"/>
      <c r="M173" s="170"/>
      <c r="N173" s="15"/>
      <c r="O173" s="213"/>
      <c r="P173" s="215"/>
      <c r="Q173" s="168"/>
      <c r="R173" s="25"/>
    </row>
    <row r="174" spans="2:18">
      <c r="B174" s="88">
        <v>5</v>
      </c>
      <c r="C174" s="62"/>
      <c r="D174" s="236"/>
      <c r="E174" s="237"/>
      <c r="F174" s="238"/>
      <c r="G174" s="91"/>
      <c r="H174" s="231"/>
      <c r="I174" s="231"/>
      <c r="J174" s="231"/>
      <c r="K174" s="172" t="str">
        <f>IFERROR(IF(VLOOKUP(B174&amp;"-"&amp;$C$8,'Base de Dados'!B:J,9,0)=0,"",VLOOKUP(B174&amp;"-"&amp;$C$8,'Base de Dados'!B:J,9,0)),"")</f>
        <v/>
      </c>
      <c r="L174" s="172"/>
      <c r="M174" s="172"/>
      <c r="N174" s="15"/>
      <c r="O174" s="213"/>
      <c r="P174" s="215"/>
      <c r="Q174" s="168"/>
      <c r="R174" s="25"/>
    </row>
    <row r="175" spans="2:18">
      <c r="B175" s="88">
        <v>6</v>
      </c>
      <c r="C175" s="62"/>
      <c r="D175" s="236"/>
      <c r="E175" s="237"/>
      <c r="F175" s="238"/>
      <c r="G175" s="91"/>
      <c r="H175" s="231"/>
      <c r="I175" s="231"/>
      <c r="J175" s="231"/>
      <c r="K175" s="172"/>
      <c r="L175" s="172"/>
      <c r="M175" s="172"/>
      <c r="N175" s="15"/>
      <c r="O175" s="213"/>
      <c r="P175" s="215"/>
      <c r="Q175" s="168"/>
      <c r="R175" s="25"/>
    </row>
    <row r="176" spans="2:18">
      <c r="B176" s="88">
        <v>7</v>
      </c>
      <c r="C176" s="62"/>
      <c r="D176" s="169"/>
      <c r="E176" s="169"/>
      <c r="F176" s="169"/>
      <c r="G176" s="91"/>
      <c r="H176" s="231"/>
      <c r="I176" s="231"/>
      <c r="J176" s="231"/>
      <c r="K176" s="172"/>
      <c r="L176" s="172"/>
      <c r="M176" s="172"/>
      <c r="N176" s="15"/>
      <c r="O176" s="213"/>
      <c r="P176" s="215"/>
      <c r="Q176" s="168"/>
      <c r="R176" s="25"/>
    </row>
    <row r="177" spans="2:18">
      <c r="B177" s="88">
        <v>8</v>
      </c>
      <c r="C177" s="62"/>
      <c r="D177" s="169"/>
      <c r="E177" s="169"/>
      <c r="F177" s="169"/>
      <c r="G177" s="91"/>
      <c r="H177" s="231"/>
      <c r="I177" s="231"/>
      <c r="J177" s="231"/>
      <c r="K177" s="172"/>
      <c r="L177" s="172"/>
      <c r="M177" s="172"/>
      <c r="N177" s="15"/>
      <c r="O177" s="213"/>
      <c r="P177" s="215"/>
      <c r="Q177" s="168"/>
      <c r="R177" s="25"/>
    </row>
    <row r="178" spans="2:18">
      <c r="B178" s="88">
        <v>9</v>
      </c>
      <c r="C178" s="62"/>
      <c r="D178" s="169"/>
      <c r="E178" s="169"/>
      <c r="F178" s="169"/>
      <c r="G178" s="91"/>
      <c r="H178" s="231"/>
      <c r="I178" s="231"/>
      <c r="J178" s="231"/>
      <c r="K178" s="172"/>
      <c r="L178" s="172"/>
      <c r="M178" s="172"/>
      <c r="N178" s="15"/>
      <c r="O178" s="213"/>
      <c r="P178" s="215"/>
      <c r="Q178" s="168"/>
      <c r="R178" s="25"/>
    </row>
    <row r="179" spans="2:18">
      <c r="B179" s="88">
        <v>10</v>
      </c>
      <c r="C179" s="62"/>
      <c r="D179" s="169"/>
      <c r="E179" s="169"/>
      <c r="F179" s="169"/>
      <c r="G179" s="91"/>
      <c r="H179" s="231"/>
      <c r="I179" s="231"/>
      <c r="J179" s="231"/>
      <c r="K179" s="172"/>
      <c r="L179" s="172"/>
      <c r="M179" s="172"/>
      <c r="N179" s="15"/>
      <c r="O179" s="213"/>
      <c r="P179" s="215"/>
      <c r="Q179" s="168"/>
      <c r="R179" s="25"/>
    </row>
    <row r="180" spans="2:18">
      <c r="B180" s="88">
        <v>11</v>
      </c>
      <c r="C180" s="62"/>
      <c r="D180" s="169"/>
      <c r="E180" s="169"/>
      <c r="F180" s="169"/>
      <c r="G180" s="91"/>
      <c r="H180" s="231"/>
      <c r="I180" s="231"/>
      <c r="J180" s="231"/>
      <c r="K180" s="172"/>
      <c r="L180" s="172"/>
      <c r="M180" s="172"/>
      <c r="N180" s="15"/>
      <c r="O180" s="213"/>
      <c r="P180" s="215"/>
      <c r="Q180" s="168"/>
      <c r="R180" s="25"/>
    </row>
    <row r="181" spans="2:18">
      <c r="B181" s="88">
        <v>12</v>
      </c>
      <c r="C181" s="62" t="str">
        <f>IFERROR(VLOOKUP(B181&amp;"-"&amp;$C$8,'Base de Dados'!B:F,5,0),"")</f>
        <v/>
      </c>
      <c r="D181" s="169" t="str">
        <f>IFERROR(VLOOKUP(C181,Configuração!A:B,2,0),"")</f>
        <v/>
      </c>
      <c r="E181" s="169"/>
      <c r="F181" s="169"/>
      <c r="G181" s="91" t="str">
        <f>IFERROR(VLOOKUP(B181&amp;"-"&amp;$C$8,'Base de Dados'!B:H,7,0),"")</f>
        <v/>
      </c>
      <c r="H181" s="231" t="str">
        <f>IFERROR(IF(VLOOKUP(B181&amp;"-"&amp;$C$8,'Base de Dados'!B:I,8,0)=0,"",VLOOKUP(B181&amp;"-"&amp;$C$8,'Base de Dados'!B:I,8,0)),"")</f>
        <v/>
      </c>
      <c r="I181" s="231"/>
      <c r="J181" s="231"/>
      <c r="K181" s="172" t="str">
        <f>IFERROR(IF(VLOOKUP(B181&amp;"-"&amp;$C$8,'Base de Dados'!B:J,9,0)=0,"",VLOOKUP(B181&amp;"-"&amp;$C$8,'Base de Dados'!B:J,9,0)),"")</f>
        <v/>
      </c>
      <c r="L181" s="172"/>
      <c r="M181" s="172"/>
      <c r="N181" s="15"/>
      <c r="O181" s="213"/>
      <c r="P181" s="67"/>
      <c r="Q181" s="68"/>
      <c r="R181" s="25"/>
    </row>
    <row r="182" spans="2:18">
      <c r="B182" s="88">
        <v>13</v>
      </c>
      <c r="C182" s="62" t="str">
        <f>IFERROR(VLOOKUP(B182&amp;"-"&amp;$C$8,'Base de Dados'!B:F,5,0),"")</f>
        <v/>
      </c>
      <c r="D182" s="169" t="str">
        <f>IFERROR(VLOOKUP(C182,Configuração!A:B,2,0),"")</f>
        <v/>
      </c>
      <c r="E182" s="169"/>
      <c r="F182" s="169"/>
      <c r="G182" s="91" t="str">
        <f>IFERROR(VLOOKUP(B182&amp;"-"&amp;$C$8,'Base de Dados'!B:H,7,0),"")</f>
        <v/>
      </c>
      <c r="H182" s="231" t="str">
        <f>IFERROR(IF(VLOOKUP(B182&amp;"-"&amp;$C$8,'Base de Dados'!B:I,8,0)=0,"",VLOOKUP(B182&amp;"-"&amp;$C$8,'Base de Dados'!B:I,8,0)),"")</f>
        <v/>
      </c>
      <c r="I182" s="231"/>
      <c r="J182" s="231"/>
      <c r="K182" s="172" t="str">
        <f>IFERROR(IF(VLOOKUP(B182&amp;"-"&amp;$C$8,'Base de Dados'!B:J,9,0)=0,"",VLOOKUP(B182&amp;"-"&amp;$C$8,'Base de Dados'!B:J,9,0)),"")</f>
        <v/>
      </c>
      <c r="L182" s="172"/>
      <c r="M182" s="172"/>
      <c r="N182" s="15"/>
      <c r="O182" s="213"/>
      <c r="P182" s="67"/>
      <c r="Q182" s="68"/>
      <c r="R182" s="25"/>
    </row>
    <row r="183" spans="2:18">
      <c r="B183" s="88">
        <v>14</v>
      </c>
      <c r="C183" s="62" t="str">
        <f>IFERROR(VLOOKUP(B183&amp;"-"&amp;$C$8,'Base de Dados'!B:F,5,0),"")</f>
        <v/>
      </c>
      <c r="D183" s="169" t="str">
        <f>IFERROR(VLOOKUP(C183,Configuração!A:B,2,0),"")</f>
        <v/>
      </c>
      <c r="E183" s="169"/>
      <c r="F183" s="169"/>
      <c r="G183" s="91" t="str">
        <f>IFERROR(VLOOKUP(B183&amp;"-"&amp;$C$8,'Base de Dados'!B:H,7,0),"")</f>
        <v/>
      </c>
      <c r="H183" s="231" t="str">
        <f>IFERROR(IF(VLOOKUP(B183&amp;"-"&amp;$C$8,'Base de Dados'!B:I,8,0)=0,"",VLOOKUP(B183&amp;"-"&amp;$C$8,'Base de Dados'!B:I,8,0)),"")</f>
        <v/>
      </c>
      <c r="I183" s="231"/>
      <c r="J183" s="231"/>
      <c r="K183" s="172" t="str">
        <f>IFERROR(IF(VLOOKUP(B183&amp;"-"&amp;$C$8,'Base de Dados'!B:J,9,0)=0,"",VLOOKUP(B183&amp;"-"&amp;$C$8,'Base de Dados'!B:J,9,0)),"")</f>
        <v/>
      </c>
      <c r="L183" s="172"/>
      <c r="M183" s="172"/>
      <c r="N183" s="15"/>
      <c r="O183" s="213"/>
      <c r="P183" s="167" t="s">
        <v>33</v>
      </c>
      <c r="Q183" s="168" t="s">
        <v>30</v>
      </c>
      <c r="R183" s="25"/>
    </row>
    <row r="184" spans="2:18" ht="12.75" customHeight="1">
      <c r="B184" s="88">
        <v>15</v>
      </c>
      <c r="C184" s="62" t="str">
        <f>IFERROR(VLOOKUP(B184&amp;"-"&amp;$C$8,'Base de Dados'!B:F,5,0),"")</f>
        <v/>
      </c>
      <c r="D184" s="169" t="str">
        <f>IFERROR(VLOOKUP(C184,Configuração!A:B,2,0),"")</f>
        <v/>
      </c>
      <c r="E184" s="169"/>
      <c r="F184" s="169"/>
      <c r="G184" s="91" t="str">
        <f>IFERROR(VLOOKUP(B184&amp;"-"&amp;$C$8,'Base de Dados'!B:H,7,0),"")</f>
        <v/>
      </c>
      <c r="H184" s="231" t="str">
        <f>IFERROR(IF(VLOOKUP(B184&amp;"-"&amp;$C$8,'Base de Dados'!B:I,8,0)=0,"",VLOOKUP(B184&amp;"-"&amp;$C$8,'Base de Dados'!B:I,8,0)),"")</f>
        <v/>
      </c>
      <c r="I184" s="231"/>
      <c r="J184" s="231"/>
      <c r="K184" s="172" t="str">
        <f>IFERROR(IF(VLOOKUP(B184&amp;"-"&amp;$C$8,'Base de Dados'!B:J,9,0)=0,"",VLOOKUP(B184&amp;"-"&amp;$C$8,'Base de Dados'!B:J,9,0)),"")</f>
        <v/>
      </c>
      <c r="L184" s="172"/>
      <c r="M184" s="172"/>
      <c r="N184" s="15"/>
      <c r="O184" s="213"/>
      <c r="P184" s="167"/>
      <c r="Q184" s="168"/>
      <c r="R184" s="25"/>
    </row>
    <row r="185" spans="2:18">
      <c r="B185" s="88">
        <v>16</v>
      </c>
      <c r="C185" s="62" t="str">
        <f>IFERROR(VLOOKUP(B185&amp;"-"&amp;$C$8,'Base de Dados'!B:F,5,0),"")</f>
        <v/>
      </c>
      <c r="D185" s="169" t="str">
        <f>IFERROR(VLOOKUP(C185,Configuração!A:B,2,0),"")</f>
        <v/>
      </c>
      <c r="E185" s="169"/>
      <c r="F185" s="169"/>
      <c r="G185" s="91" t="str">
        <f>IFERROR(VLOOKUP(B185&amp;"-"&amp;$C$8,'Base de Dados'!B:H,7,0),"")</f>
        <v/>
      </c>
      <c r="H185" s="231" t="str">
        <f>IFERROR(IF(VLOOKUP(B185&amp;"-"&amp;$C$8,'Base de Dados'!B:I,8,0)=0,"",VLOOKUP(B185&amp;"-"&amp;$C$8,'Base de Dados'!B:I,8,0)),"")</f>
        <v/>
      </c>
      <c r="I185" s="231"/>
      <c r="J185" s="231"/>
      <c r="K185" s="172" t="str">
        <f>IFERROR(IF(VLOOKUP(B185&amp;"-"&amp;$C$8,'Base de Dados'!B:J,9,0)=0,"",VLOOKUP(B185&amp;"-"&amp;$C$8,'Base de Dados'!B:J,9,0)),"")</f>
        <v/>
      </c>
      <c r="L185" s="172"/>
      <c r="M185" s="172"/>
      <c r="N185" s="15"/>
      <c r="O185" s="213"/>
      <c r="P185" s="167"/>
      <c r="Q185" s="168"/>
      <c r="R185" s="25"/>
    </row>
    <row r="186" spans="2:18">
      <c r="B186" s="88">
        <v>17</v>
      </c>
      <c r="C186" s="62" t="str">
        <f>IFERROR(VLOOKUP(B186&amp;"-"&amp;$C$8,'Base de Dados'!B:F,5,0),"")</f>
        <v/>
      </c>
      <c r="D186" s="169" t="str">
        <f>IFERROR(VLOOKUP(C186,Configuração!A:B,2,0),"")</f>
        <v/>
      </c>
      <c r="E186" s="169"/>
      <c r="F186" s="169"/>
      <c r="G186" s="91" t="str">
        <f>IFERROR(VLOOKUP(B186&amp;"-"&amp;$C$8,'Base de Dados'!B:H,7,0),"")</f>
        <v/>
      </c>
      <c r="H186" s="231" t="str">
        <f>IFERROR(IF(VLOOKUP(B186&amp;"-"&amp;$C$8,'Base de Dados'!B:I,8,0)=0,"",VLOOKUP(B186&amp;"-"&amp;$C$8,'Base de Dados'!B:I,8,0)),"")</f>
        <v/>
      </c>
      <c r="I186" s="231"/>
      <c r="J186" s="231"/>
      <c r="K186" s="172" t="str">
        <f>IFERROR(IF(VLOOKUP(B186&amp;"-"&amp;$C$8,'Base de Dados'!B:J,9,0)=0,"",VLOOKUP(B186&amp;"-"&amp;$C$8,'Base de Dados'!B:J,9,0)),"")</f>
        <v/>
      </c>
      <c r="L186" s="172"/>
      <c r="M186" s="172"/>
      <c r="N186" s="15"/>
      <c r="O186" s="213"/>
      <c r="P186" s="167"/>
      <c r="Q186" s="168"/>
      <c r="R186" s="25"/>
    </row>
    <row r="187" spans="2:18">
      <c r="B187" s="88">
        <v>18</v>
      </c>
      <c r="C187" s="63" t="str">
        <f>IFERROR(VLOOKUP(B187&amp;"-"&amp;$C$8,'Base de Dados'!B:F,5,0),"")</f>
        <v/>
      </c>
      <c r="D187" s="232" t="str">
        <f>IFERROR(VLOOKUP(C187,Configuração!A:B,2,0),"")</f>
        <v/>
      </c>
      <c r="E187" s="232"/>
      <c r="F187" s="232"/>
      <c r="G187" s="92" t="str">
        <f>IFERROR(VLOOKUP(B187&amp;"-"&amp;$C$8,'Base de Dados'!B:H,7,0),"")</f>
        <v/>
      </c>
      <c r="H187" s="233" t="str">
        <f>IFERROR(IF(VLOOKUP(B187&amp;"-"&amp;$C$8,'Base de Dados'!B:I,8,0)=0,"",VLOOKUP(B187&amp;"-"&amp;$C$8,'Base de Dados'!B:I,8,0)),"")</f>
        <v/>
      </c>
      <c r="I187" s="233"/>
      <c r="J187" s="233"/>
      <c r="K187" s="177" t="str">
        <f>IFERROR(IF(VLOOKUP(B187&amp;"-"&amp;$C$8,'Base de Dados'!B:J,9,0)=0,"",VLOOKUP(B187&amp;"-"&amp;$C$8,'Base de Dados'!B:J,9,0)),"")</f>
        <v/>
      </c>
      <c r="L187" s="177"/>
      <c r="M187" s="177"/>
      <c r="N187" s="15"/>
      <c r="O187" s="213"/>
      <c r="P187" s="167"/>
      <c r="Q187" s="168"/>
      <c r="R187" s="25"/>
    </row>
    <row r="188" spans="2:18">
      <c r="B188" s="21"/>
      <c r="C188" s="37"/>
      <c r="D188" s="135"/>
      <c r="E188" s="135"/>
      <c r="F188" s="135"/>
      <c r="G188" s="37"/>
      <c r="H188" s="119"/>
      <c r="I188" s="119"/>
      <c r="J188" s="119"/>
      <c r="K188" s="119"/>
      <c r="L188" s="119"/>
      <c r="M188" s="119"/>
      <c r="N188" s="15"/>
      <c r="O188" s="213"/>
      <c r="P188" s="167"/>
      <c r="Q188" s="168"/>
      <c r="R188" s="25"/>
    </row>
    <row r="189" spans="2:18">
      <c r="B189" s="21"/>
      <c r="C189" s="179"/>
      <c r="D189" s="180"/>
      <c r="E189" s="180"/>
      <c r="F189" s="180"/>
      <c r="G189" s="181"/>
      <c r="H189" s="189" t="s">
        <v>24</v>
      </c>
      <c r="I189" s="189"/>
      <c r="J189" s="190"/>
      <c r="K189" s="191" t="s">
        <v>4</v>
      </c>
      <c r="L189" s="192"/>
      <c r="M189" s="193"/>
      <c r="N189" s="15"/>
      <c r="O189" s="213"/>
      <c r="P189" s="167"/>
      <c r="Q189" s="168"/>
      <c r="R189" s="25"/>
    </row>
    <row r="190" spans="2:18">
      <c r="B190" s="21"/>
      <c r="C190" s="182"/>
      <c r="D190" s="183"/>
      <c r="E190" s="183"/>
      <c r="F190" s="183"/>
      <c r="G190" s="184"/>
      <c r="H190" s="195">
        <f>SUM(H170:J187)</f>
        <v>357.75</v>
      </c>
      <c r="I190" s="195"/>
      <c r="J190" s="196"/>
      <c r="K190" s="197">
        <f>SUM(K171:M187)</f>
        <v>0</v>
      </c>
      <c r="L190" s="198"/>
      <c r="M190" s="199"/>
      <c r="N190" s="15"/>
      <c r="O190" s="213"/>
      <c r="P190" s="167"/>
      <c r="Q190" s="168"/>
      <c r="R190" s="25"/>
    </row>
    <row r="191" spans="2:18">
      <c r="B191" s="21"/>
      <c r="C191" s="182"/>
      <c r="D191" s="183"/>
      <c r="E191" s="183"/>
      <c r="F191" s="183"/>
      <c r="G191" s="184"/>
      <c r="H191" s="141"/>
      <c r="I191" s="141"/>
      <c r="J191" s="141"/>
      <c r="K191" s="141"/>
      <c r="L191" s="141"/>
      <c r="M191" s="141"/>
      <c r="N191" s="15"/>
      <c r="O191" s="213"/>
      <c r="P191" s="167"/>
      <c r="Q191" s="168"/>
      <c r="R191" s="25"/>
    </row>
    <row r="192" spans="2:18">
      <c r="B192" s="21"/>
      <c r="C192" s="182"/>
      <c r="D192" s="183"/>
      <c r="E192" s="183"/>
      <c r="F192" s="183"/>
      <c r="G192" s="184"/>
      <c r="H192" s="200" t="s">
        <v>25</v>
      </c>
      <c r="I192" s="201"/>
      <c r="J192" s="234"/>
      <c r="K192" s="152">
        <f>H190-K190</f>
        <v>357.75</v>
      </c>
      <c r="L192" s="153"/>
      <c r="M192" s="154"/>
      <c r="N192" s="15"/>
      <c r="O192" s="213"/>
      <c r="P192" s="167"/>
      <c r="Q192" s="168"/>
      <c r="R192" s="25"/>
    </row>
    <row r="193" spans="2:18">
      <c r="B193" s="21"/>
      <c r="C193" s="185"/>
      <c r="D193" s="186"/>
      <c r="E193" s="186"/>
      <c r="F193" s="186"/>
      <c r="G193" s="187"/>
      <c r="H193" s="202"/>
      <c r="I193" s="203"/>
      <c r="J193" s="235"/>
      <c r="K193" s="155"/>
      <c r="L193" s="156"/>
      <c r="M193" s="157"/>
      <c r="N193" s="15"/>
      <c r="O193" s="213"/>
      <c r="P193" s="167"/>
      <c r="Q193" s="168"/>
      <c r="R193" s="25"/>
    </row>
    <row r="194" spans="2:18">
      <c r="B194" s="21"/>
      <c r="C194" s="75"/>
      <c r="D194" s="75"/>
      <c r="E194" s="75"/>
      <c r="F194" s="75"/>
      <c r="G194" s="75"/>
      <c r="H194" s="39"/>
      <c r="I194" s="39"/>
      <c r="J194" s="39"/>
      <c r="K194" s="40"/>
      <c r="L194" s="40"/>
      <c r="M194" s="40"/>
      <c r="N194" s="15"/>
      <c r="O194" s="213"/>
      <c r="P194" s="167"/>
      <c r="Q194" s="168"/>
      <c r="R194" s="25"/>
    </row>
    <row r="195" spans="2:18">
      <c r="B195" s="23"/>
      <c r="C195" s="158" t="s">
        <v>18</v>
      </c>
      <c r="D195" s="159"/>
      <c r="E195" s="51" t="s">
        <v>19</v>
      </c>
      <c r="F195" s="76" t="s">
        <v>20</v>
      </c>
      <c r="G195" s="159" t="s">
        <v>21</v>
      </c>
      <c r="H195" s="159"/>
      <c r="I195" s="160" t="s">
        <v>27</v>
      </c>
      <c r="J195" s="160"/>
      <c r="K195" s="160"/>
      <c r="L195" s="160" t="s">
        <v>26</v>
      </c>
      <c r="M195" s="161"/>
      <c r="N195" s="17"/>
      <c r="O195" s="213"/>
      <c r="P195" s="167"/>
      <c r="Q195" s="168"/>
      <c r="R195" s="27"/>
    </row>
    <row r="196" spans="2:18">
      <c r="B196" s="21"/>
      <c r="C196" s="229">
        <f>H170</f>
        <v>357.75</v>
      </c>
      <c r="D196" s="230"/>
      <c r="E196" s="41">
        <v>0</v>
      </c>
      <c r="F196" s="81">
        <f>H170+H171</f>
        <v>357.75</v>
      </c>
      <c r="G196" s="230">
        <f>F196*8%</f>
        <v>28.62</v>
      </c>
      <c r="H196" s="230"/>
      <c r="I196" s="164">
        <v>0</v>
      </c>
      <c r="J196" s="164"/>
      <c r="K196" s="164"/>
      <c r="L196" s="165" t="s">
        <v>47</v>
      </c>
      <c r="M196" s="166"/>
      <c r="N196" s="15"/>
      <c r="O196" s="214"/>
      <c r="P196" s="69"/>
      <c r="Q196" s="70"/>
      <c r="R196" s="25"/>
    </row>
    <row r="197" spans="2:18">
      <c r="B197" s="24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8"/>
    </row>
    <row r="198" spans="2:18"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</row>
    <row r="199" spans="2:18">
      <c r="B199" s="151" t="s">
        <v>34</v>
      </c>
      <c r="C199" s="151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</row>
    <row r="200" spans="2:18"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</row>
    <row r="201" spans="2:18">
      <c r="B201" s="18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20"/>
    </row>
    <row r="202" spans="2:18">
      <c r="B202" s="21"/>
      <c r="C202" s="204" t="str">
        <f>IF(C161="","",C161)</f>
        <v>MAYARA SILVA DE SOUZA &amp; CIA LTDA</v>
      </c>
      <c r="D202" s="205"/>
      <c r="E202" s="205"/>
      <c r="F202" s="205"/>
      <c r="G202" s="208" t="s">
        <v>5</v>
      </c>
      <c r="H202" s="208"/>
      <c r="I202" s="208"/>
      <c r="J202" s="208"/>
      <c r="K202" s="208"/>
      <c r="L202" s="208"/>
      <c r="M202" s="209"/>
      <c r="N202" s="15"/>
      <c r="O202" s="212" t="s">
        <v>29</v>
      </c>
      <c r="P202" s="64"/>
      <c r="Q202" s="65"/>
      <c r="R202" s="25"/>
    </row>
    <row r="203" spans="2:18" ht="12.75" customHeight="1">
      <c r="B203" s="21"/>
      <c r="C203" s="206"/>
      <c r="D203" s="207"/>
      <c r="E203" s="207"/>
      <c r="F203" s="207"/>
      <c r="G203" s="210"/>
      <c r="H203" s="210"/>
      <c r="I203" s="210"/>
      <c r="J203" s="210"/>
      <c r="K203" s="210"/>
      <c r="L203" s="210"/>
      <c r="M203" s="211"/>
      <c r="N203" s="15"/>
      <c r="O203" s="213"/>
      <c r="P203" s="215" t="s">
        <v>32</v>
      </c>
      <c r="Q203" s="66"/>
      <c r="R203" s="25"/>
    </row>
    <row r="204" spans="2:18" ht="12.75" customHeight="1">
      <c r="B204" s="21"/>
      <c r="C204" s="216" t="str">
        <f>IF(C163="","",C163)</f>
        <v>CNPJ: 22.900.819/0001-48</v>
      </c>
      <c r="D204" s="217"/>
      <c r="E204" s="217"/>
      <c r="F204" s="217"/>
      <c r="G204" s="218" t="str">
        <f>IF(G163="","",G163)</f>
        <v xml:space="preserve">13º . Adiantamento 11/2018 </v>
      </c>
      <c r="H204" s="218"/>
      <c r="I204" s="218"/>
      <c r="J204" s="218"/>
      <c r="K204" s="218"/>
      <c r="L204" s="218"/>
      <c r="M204" s="219"/>
      <c r="N204" s="15"/>
      <c r="O204" s="213"/>
      <c r="P204" s="215"/>
      <c r="Q204" s="168" t="s">
        <v>31</v>
      </c>
      <c r="R204" s="25"/>
    </row>
    <row r="205" spans="2:18" ht="12.75" customHeight="1">
      <c r="B205" s="21"/>
      <c r="C205" s="183"/>
      <c r="D205" s="183"/>
      <c r="E205" s="183"/>
      <c r="F205" s="183"/>
      <c r="G205" s="183"/>
      <c r="H205" s="183"/>
      <c r="I205" s="183"/>
      <c r="J205" s="183"/>
      <c r="K205" s="183"/>
      <c r="L205" s="183"/>
      <c r="M205" s="183"/>
      <c r="N205" s="15"/>
      <c r="O205" s="213"/>
      <c r="P205" s="215"/>
      <c r="Q205" s="168"/>
      <c r="R205" s="25"/>
    </row>
    <row r="206" spans="2:18">
      <c r="B206" s="22"/>
      <c r="C206" s="49" t="s">
        <v>9</v>
      </c>
      <c r="D206" s="159" t="s">
        <v>10</v>
      </c>
      <c r="E206" s="159"/>
      <c r="F206" s="159"/>
      <c r="G206" s="50" t="s">
        <v>11</v>
      </c>
      <c r="H206" s="51" t="s">
        <v>12</v>
      </c>
      <c r="I206" s="51" t="s">
        <v>13</v>
      </c>
      <c r="J206" s="51" t="s">
        <v>14</v>
      </c>
      <c r="K206" s="79" t="s">
        <v>15</v>
      </c>
      <c r="L206" s="52" t="s">
        <v>16</v>
      </c>
      <c r="M206" s="80" t="s">
        <v>17</v>
      </c>
      <c r="N206" s="16"/>
      <c r="O206" s="213"/>
      <c r="P206" s="215"/>
      <c r="Q206" s="168"/>
      <c r="R206" s="26"/>
    </row>
    <row r="207" spans="2:18">
      <c r="B207" s="21"/>
      <c r="C207" s="34">
        <f>IF(C166="","",C166)</f>
        <v>1</v>
      </c>
      <c r="D207" s="220" t="str">
        <f>IF(D166="","",D166)</f>
        <v>ANA PAULA PIRES DE CARVALHO</v>
      </c>
      <c r="E207" s="220"/>
      <c r="F207" s="220"/>
      <c r="G207" s="221" t="str">
        <f>IF(G166="","",G166)</f>
        <v>RECEPCIONISTA</v>
      </c>
      <c r="H207" s="221"/>
      <c r="I207" s="221"/>
      <c r="J207" s="221"/>
      <c r="K207" s="221"/>
      <c r="L207" s="221"/>
      <c r="M207" s="222"/>
      <c r="N207" s="15"/>
      <c r="O207" s="213"/>
      <c r="P207" s="215"/>
      <c r="Q207" s="168"/>
      <c r="R207" s="25"/>
    </row>
    <row r="208" spans="2:18">
      <c r="B208" s="21"/>
      <c r="C208" s="183"/>
      <c r="D208" s="183"/>
      <c r="E208" s="183"/>
      <c r="F208" s="183"/>
      <c r="G208" s="183"/>
      <c r="H208" s="183"/>
      <c r="I208" s="183"/>
      <c r="J208" s="183"/>
      <c r="K208" s="183"/>
      <c r="L208" s="183"/>
      <c r="M208" s="183"/>
      <c r="N208" s="15"/>
      <c r="O208" s="213"/>
      <c r="P208" s="215"/>
      <c r="Q208" s="168"/>
      <c r="R208" s="25"/>
    </row>
    <row r="209" spans="2:18">
      <c r="B209" s="21"/>
      <c r="C209" s="77" t="s">
        <v>22</v>
      </c>
      <c r="D209" s="223" t="s">
        <v>1</v>
      </c>
      <c r="E209" s="223"/>
      <c r="F209" s="223"/>
      <c r="G209" s="77" t="s">
        <v>23</v>
      </c>
      <c r="H209" s="223" t="s">
        <v>2</v>
      </c>
      <c r="I209" s="223"/>
      <c r="J209" s="223"/>
      <c r="K209" s="223" t="s">
        <v>3</v>
      </c>
      <c r="L209" s="223"/>
      <c r="M209" s="223"/>
      <c r="N209" s="15"/>
      <c r="O209" s="213"/>
      <c r="P209" s="215"/>
      <c r="Q209" s="168"/>
      <c r="R209" s="25"/>
    </row>
    <row r="210" spans="2:18">
      <c r="B210" s="21"/>
      <c r="C210" s="74"/>
      <c r="D210" s="126"/>
      <c r="E210" s="126"/>
      <c r="F210" s="126"/>
      <c r="G210" s="74"/>
      <c r="H210" s="126"/>
      <c r="I210" s="126"/>
      <c r="J210" s="126"/>
      <c r="K210" s="126"/>
      <c r="L210" s="126"/>
      <c r="M210" s="126"/>
      <c r="N210" s="15"/>
      <c r="O210" s="213"/>
      <c r="P210" s="215"/>
      <c r="Q210" s="168"/>
      <c r="R210" s="25"/>
    </row>
    <row r="211" spans="2:18">
      <c r="B211" s="21"/>
      <c r="C211" s="61">
        <f>IF(C170="","",C170)</f>
        <v>150</v>
      </c>
      <c r="D211" s="224" t="str">
        <f>IF(D170="","",D170)</f>
        <v>13º SALARIO ADIANTADO</v>
      </c>
      <c r="E211" s="224"/>
      <c r="F211" s="224"/>
      <c r="G211" s="110">
        <f>IF(G170="","",G170)</f>
        <v>12</v>
      </c>
      <c r="H211" s="225">
        <f>IF(H170="","",H170)</f>
        <v>357.75</v>
      </c>
      <c r="I211" s="226"/>
      <c r="J211" s="226"/>
      <c r="K211" s="227" t="str">
        <f>IF(K170="","",K170)</f>
        <v/>
      </c>
      <c r="L211" s="228"/>
      <c r="M211" s="228"/>
      <c r="N211" s="15"/>
      <c r="O211" s="213"/>
      <c r="P211" s="215"/>
      <c r="Q211" s="168"/>
      <c r="R211" s="25"/>
    </row>
    <row r="212" spans="2:18">
      <c r="B212" s="21"/>
      <c r="C212" s="62" t="str">
        <f t="shared" ref="C212:D212" si="64">IF(C171="","",C171)</f>
        <v/>
      </c>
      <c r="D212" s="169" t="str">
        <f t="shared" si="64"/>
        <v/>
      </c>
      <c r="E212" s="169"/>
      <c r="F212" s="169"/>
      <c r="G212" s="72" t="str">
        <f t="shared" ref="G212:H213" si="65">IF(G171="","",G171)</f>
        <v/>
      </c>
      <c r="H212" s="170" t="str">
        <f t="shared" si="65"/>
        <v/>
      </c>
      <c r="I212" s="171"/>
      <c r="J212" s="171"/>
      <c r="K212" s="172" t="str">
        <f>IF(K171="","",K171)</f>
        <v/>
      </c>
      <c r="L212" s="173"/>
      <c r="M212" s="173"/>
      <c r="N212" s="15"/>
      <c r="O212" s="213"/>
      <c r="P212" s="215"/>
      <c r="Q212" s="168"/>
      <c r="R212" s="25"/>
    </row>
    <row r="213" spans="2:18">
      <c r="B213" s="21"/>
      <c r="C213" s="62" t="str">
        <f t="shared" ref="C213:D213" si="66">IF(C172="","",C172)</f>
        <v/>
      </c>
      <c r="D213" s="169" t="str">
        <f t="shared" si="66"/>
        <v/>
      </c>
      <c r="E213" s="169"/>
      <c r="F213" s="169"/>
      <c r="G213" s="72" t="str">
        <f t="shared" si="65"/>
        <v/>
      </c>
      <c r="H213" s="170" t="str">
        <f>IF(H172="","",H172)</f>
        <v/>
      </c>
      <c r="I213" s="171"/>
      <c r="J213" s="171"/>
      <c r="K213" s="172" t="str">
        <f>IF(K172="","",K172)</f>
        <v/>
      </c>
      <c r="L213" s="173"/>
      <c r="M213" s="173"/>
      <c r="N213" s="15"/>
      <c r="O213" s="213"/>
      <c r="P213" s="215"/>
      <c r="Q213" s="168"/>
      <c r="R213" s="25"/>
    </row>
    <row r="214" spans="2:18">
      <c r="B214" s="21"/>
      <c r="C214" s="62" t="str">
        <f t="shared" ref="C214:D214" si="67">IF(C173="","",C173)</f>
        <v/>
      </c>
      <c r="D214" s="169" t="str">
        <f t="shared" si="67"/>
        <v/>
      </c>
      <c r="E214" s="169"/>
      <c r="F214" s="169"/>
      <c r="G214" s="95" t="str">
        <f t="shared" ref="G214" si="68">IF(G173="","",G173)</f>
        <v/>
      </c>
      <c r="H214" s="170" t="str">
        <f>IF(H173="","",H173)</f>
        <v/>
      </c>
      <c r="I214" s="171"/>
      <c r="J214" s="171"/>
      <c r="K214" s="172" t="str">
        <f>IF(K173="","",K173)</f>
        <v/>
      </c>
      <c r="L214" s="173"/>
      <c r="M214" s="173"/>
      <c r="N214" s="15"/>
      <c r="O214" s="213"/>
      <c r="P214" s="215"/>
      <c r="Q214" s="168"/>
      <c r="R214" s="25"/>
    </row>
    <row r="215" spans="2:18">
      <c r="B215" s="21"/>
      <c r="C215" s="62" t="str">
        <f t="shared" ref="C215:D215" si="69">IF(C174="","",C174)</f>
        <v/>
      </c>
      <c r="D215" s="169" t="str">
        <f t="shared" si="69"/>
        <v/>
      </c>
      <c r="E215" s="169"/>
      <c r="F215" s="169"/>
      <c r="G215" s="72" t="str">
        <f t="shared" ref="G215:H215" si="70">IF(G174="","",G174)</f>
        <v/>
      </c>
      <c r="H215" s="170" t="str">
        <f t="shared" si="70"/>
        <v/>
      </c>
      <c r="I215" s="171"/>
      <c r="J215" s="171"/>
      <c r="K215" s="172" t="str">
        <f t="shared" ref="K215:K228" si="71">IF(K174="","",K174)</f>
        <v/>
      </c>
      <c r="L215" s="173"/>
      <c r="M215" s="173"/>
      <c r="N215" s="15"/>
      <c r="O215" s="213"/>
      <c r="P215" s="215"/>
      <c r="Q215" s="168"/>
      <c r="R215" s="25"/>
    </row>
    <row r="216" spans="2:18">
      <c r="B216" s="21"/>
      <c r="C216" s="62" t="str">
        <f t="shared" ref="C216:D216" si="72">IF(C175="","",C175)</f>
        <v/>
      </c>
      <c r="D216" s="169" t="str">
        <f t="shared" si="72"/>
        <v/>
      </c>
      <c r="E216" s="169"/>
      <c r="F216" s="169"/>
      <c r="G216" s="72" t="str">
        <f t="shared" ref="G216:H216" si="73">IF(G175="","",G175)</f>
        <v/>
      </c>
      <c r="H216" s="170" t="str">
        <f t="shared" si="73"/>
        <v/>
      </c>
      <c r="I216" s="171"/>
      <c r="J216" s="171"/>
      <c r="K216" s="172" t="str">
        <f t="shared" si="71"/>
        <v/>
      </c>
      <c r="L216" s="173"/>
      <c r="M216" s="173"/>
      <c r="N216" s="15"/>
      <c r="O216" s="213"/>
      <c r="P216" s="215"/>
      <c r="Q216" s="168"/>
      <c r="R216" s="25"/>
    </row>
    <row r="217" spans="2:18">
      <c r="B217" s="21"/>
      <c r="C217" s="62" t="str">
        <f t="shared" ref="C217:D217" si="74">IF(C176="","",C176)</f>
        <v/>
      </c>
      <c r="D217" s="169" t="str">
        <f t="shared" si="74"/>
        <v/>
      </c>
      <c r="E217" s="169"/>
      <c r="F217" s="169"/>
      <c r="G217" s="72" t="str">
        <f t="shared" ref="G217:H217" si="75">IF(G176="","",G176)</f>
        <v/>
      </c>
      <c r="H217" s="170" t="str">
        <f t="shared" si="75"/>
        <v/>
      </c>
      <c r="I217" s="171"/>
      <c r="J217" s="171"/>
      <c r="K217" s="172" t="str">
        <f t="shared" si="71"/>
        <v/>
      </c>
      <c r="L217" s="173"/>
      <c r="M217" s="173"/>
      <c r="N217" s="15"/>
      <c r="O217" s="213"/>
      <c r="P217" s="215"/>
      <c r="Q217" s="168"/>
      <c r="R217" s="25"/>
    </row>
    <row r="218" spans="2:18">
      <c r="B218" s="21"/>
      <c r="C218" s="62" t="str">
        <f t="shared" ref="C218:D218" si="76">IF(C177="","",C177)</f>
        <v/>
      </c>
      <c r="D218" s="169" t="str">
        <f t="shared" si="76"/>
        <v/>
      </c>
      <c r="E218" s="169"/>
      <c r="F218" s="169"/>
      <c r="G218" s="72" t="str">
        <f t="shared" ref="G218:H218" si="77">IF(G177="","",G177)</f>
        <v/>
      </c>
      <c r="H218" s="170" t="str">
        <f t="shared" si="77"/>
        <v/>
      </c>
      <c r="I218" s="171"/>
      <c r="J218" s="171"/>
      <c r="K218" s="172" t="str">
        <f t="shared" si="71"/>
        <v/>
      </c>
      <c r="L218" s="173"/>
      <c r="M218" s="173"/>
      <c r="N218" s="15"/>
      <c r="O218" s="213"/>
      <c r="P218" s="215"/>
      <c r="Q218" s="168"/>
      <c r="R218" s="25"/>
    </row>
    <row r="219" spans="2:18">
      <c r="B219" s="21"/>
      <c r="C219" s="62" t="str">
        <f t="shared" ref="C219:D219" si="78">IF(C178="","",C178)</f>
        <v/>
      </c>
      <c r="D219" s="169" t="str">
        <f t="shared" si="78"/>
        <v/>
      </c>
      <c r="E219" s="169"/>
      <c r="F219" s="169"/>
      <c r="G219" s="72" t="str">
        <f t="shared" ref="G219:H219" si="79">IF(G178="","",G178)</f>
        <v/>
      </c>
      <c r="H219" s="170" t="str">
        <f t="shared" si="79"/>
        <v/>
      </c>
      <c r="I219" s="171"/>
      <c r="J219" s="171"/>
      <c r="K219" s="172" t="str">
        <f t="shared" si="71"/>
        <v/>
      </c>
      <c r="L219" s="173"/>
      <c r="M219" s="173"/>
      <c r="N219" s="15"/>
      <c r="O219" s="213"/>
      <c r="P219" s="215"/>
      <c r="Q219" s="168"/>
      <c r="R219" s="25"/>
    </row>
    <row r="220" spans="2:18">
      <c r="B220" s="21"/>
      <c r="C220" s="62" t="str">
        <f t="shared" ref="C220:D220" si="80">IF(C179="","",C179)</f>
        <v/>
      </c>
      <c r="D220" s="169" t="str">
        <f t="shared" si="80"/>
        <v/>
      </c>
      <c r="E220" s="169"/>
      <c r="F220" s="169"/>
      <c r="G220" s="72" t="str">
        <f t="shared" ref="G220:H220" si="81">IF(G179="","",G179)</f>
        <v/>
      </c>
      <c r="H220" s="170" t="str">
        <f t="shared" si="81"/>
        <v/>
      </c>
      <c r="I220" s="171"/>
      <c r="J220" s="171"/>
      <c r="K220" s="172" t="str">
        <f t="shared" si="71"/>
        <v/>
      </c>
      <c r="L220" s="173"/>
      <c r="M220" s="173"/>
      <c r="N220" s="15"/>
      <c r="O220" s="213"/>
      <c r="P220" s="215"/>
      <c r="Q220" s="168"/>
      <c r="R220" s="25"/>
    </row>
    <row r="221" spans="2:18">
      <c r="B221" s="21"/>
      <c r="C221" s="62" t="str">
        <f t="shared" ref="C221:D221" si="82">IF(C180="","",C180)</f>
        <v/>
      </c>
      <c r="D221" s="169" t="str">
        <f t="shared" si="82"/>
        <v/>
      </c>
      <c r="E221" s="169"/>
      <c r="F221" s="169"/>
      <c r="G221" s="72" t="str">
        <f t="shared" ref="G221:H221" si="83">IF(G180="","",G180)</f>
        <v/>
      </c>
      <c r="H221" s="170" t="str">
        <f t="shared" si="83"/>
        <v/>
      </c>
      <c r="I221" s="171"/>
      <c r="J221" s="171"/>
      <c r="K221" s="172" t="str">
        <f t="shared" si="71"/>
        <v/>
      </c>
      <c r="L221" s="173"/>
      <c r="M221" s="173"/>
      <c r="N221" s="15"/>
      <c r="O221" s="213"/>
      <c r="P221" s="215"/>
      <c r="Q221" s="168"/>
      <c r="R221" s="25"/>
    </row>
    <row r="222" spans="2:18">
      <c r="B222" s="21"/>
      <c r="C222" s="62" t="str">
        <f t="shared" ref="C222:D222" si="84">IF(C181="","",C181)</f>
        <v/>
      </c>
      <c r="D222" s="169" t="str">
        <f t="shared" si="84"/>
        <v/>
      </c>
      <c r="E222" s="169"/>
      <c r="F222" s="169"/>
      <c r="G222" s="72" t="str">
        <f t="shared" ref="G222:H222" si="85">IF(G181="","",G181)</f>
        <v/>
      </c>
      <c r="H222" s="170" t="str">
        <f t="shared" si="85"/>
        <v/>
      </c>
      <c r="I222" s="171"/>
      <c r="J222" s="171"/>
      <c r="K222" s="172" t="str">
        <f t="shared" si="71"/>
        <v/>
      </c>
      <c r="L222" s="173"/>
      <c r="M222" s="173"/>
      <c r="N222" s="15"/>
      <c r="O222" s="213"/>
      <c r="P222" s="67"/>
      <c r="Q222" s="68"/>
      <c r="R222" s="25"/>
    </row>
    <row r="223" spans="2:18">
      <c r="B223" s="21"/>
      <c r="C223" s="62" t="str">
        <f t="shared" ref="C223:D223" si="86">IF(C182="","",C182)</f>
        <v/>
      </c>
      <c r="D223" s="169" t="str">
        <f t="shared" si="86"/>
        <v/>
      </c>
      <c r="E223" s="169"/>
      <c r="F223" s="169"/>
      <c r="G223" s="72" t="str">
        <f t="shared" ref="G223:H223" si="87">IF(G182="","",G182)</f>
        <v/>
      </c>
      <c r="H223" s="170" t="str">
        <f t="shared" si="87"/>
        <v/>
      </c>
      <c r="I223" s="171"/>
      <c r="J223" s="171"/>
      <c r="K223" s="172" t="str">
        <f t="shared" si="71"/>
        <v/>
      </c>
      <c r="L223" s="173"/>
      <c r="M223" s="173"/>
      <c r="N223" s="15"/>
      <c r="O223" s="213"/>
      <c r="P223" s="67"/>
      <c r="Q223" s="68"/>
      <c r="R223" s="25"/>
    </row>
    <row r="224" spans="2:18">
      <c r="B224" s="21"/>
      <c r="C224" s="62" t="str">
        <f t="shared" ref="C224:D224" si="88">IF(C183="","",C183)</f>
        <v/>
      </c>
      <c r="D224" s="169" t="str">
        <f t="shared" si="88"/>
        <v/>
      </c>
      <c r="E224" s="169"/>
      <c r="F224" s="169"/>
      <c r="G224" s="72" t="str">
        <f t="shared" ref="G224:H224" si="89">IF(G183="","",G183)</f>
        <v/>
      </c>
      <c r="H224" s="170" t="str">
        <f t="shared" si="89"/>
        <v/>
      </c>
      <c r="I224" s="171"/>
      <c r="J224" s="171"/>
      <c r="K224" s="172" t="str">
        <f t="shared" si="71"/>
        <v/>
      </c>
      <c r="L224" s="173"/>
      <c r="M224" s="173"/>
      <c r="N224" s="15"/>
      <c r="O224" s="213"/>
      <c r="P224" s="167" t="s">
        <v>33</v>
      </c>
      <c r="Q224" s="168" t="s">
        <v>30</v>
      </c>
      <c r="R224" s="25"/>
    </row>
    <row r="225" spans="2:18" ht="12.75" customHeight="1">
      <c r="B225" s="21"/>
      <c r="C225" s="62" t="str">
        <f t="shared" ref="C225:D225" si="90">IF(C184="","",C184)</f>
        <v/>
      </c>
      <c r="D225" s="169" t="str">
        <f t="shared" si="90"/>
        <v/>
      </c>
      <c r="E225" s="169"/>
      <c r="F225" s="169"/>
      <c r="G225" s="72" t="str">
        <f t="shared" ref="G225:H225" si="91">IF(G184="","",G184)</f>
        <v/>
      </c>
      <c r="H225" s="170" t="str">
        <f t="shared" si="91"/>
        <v/>
      </c>
      <c r="I225" s="171"/>
      <c r="J225" s="171"/>
      <c r="K225" s="172" t="str">
        <f t="shared" si="71"/>
        <v/>
      </c>
      <c r="L225" s="173"/>
      <c r="M225" s="173"/>
      <c r="N225" s="15"/>
      <c r="O225" s="213"/>
      <c r="P225" s="167"/>
      <c r="Q225" s="168"/>
      <c r="R225" s="25"/>
    </row>
    <row r="226" spans="2:18">
      <c r="B226" s="21"/>
      <c r="C226" s="62" t="str">
        <f t="shared" ref="C226:D226" si="92">IF(C185="","",C185)</f>
        <v/>
      </c>
      <c r="D226" s="169" t="str">
        <f t="shared" si="92"/>
        <v/>
      </c>
      <c r="E226" s="169"/>
      <c r="F226" s="169"/>
      <c r="G226" s="72" t="str">
        <f t="shared" ref="G226:H226" si="93">IF(G185="","",G185)</f>
        <v/>
      </c>
      <c r="H226" s="170" t="str">
        <f t="shared" si="93"/>
        <v/>
      </c>
      <c r="I226" s="171"/>
      <c r="J226" s="171"/>
      <c r="K226" s="172" t="str">
        <f t="shared" si="71"/>
        <v/>
      </c>
      <c r="L226" s="173"/>
      <c r="M226" s="173"/>
      <c r="N226" s="15"/>
      <c r="O226" s="213"/>
      <c r="P226" s="167"/>
      <c r="Q226" s="168"/>
      <c r="R226" s="25"/>
    </row>
    <row r="227" spans="2:18">
      <c r="B227" s="21"/>
      <c r="C227" s="62" t="str">
        <f t="shared" ref="C227:D227" si="94">IF(C186="","",C186)</f>
        <v/>
      </c>
      <c r="D227" s="169" t="str">
        <f t="shared" si="94"/>
        <v/>
      </c>
      <c r="E227" s="169"/>
      <c r="F227" s="169"/>
      <c r="G227" s="72" t="str">
        <f t="shared" ref="G227:H227" si="95">IF(G186="","",G186)</f>
        <v/>
      </c>
      <c r="H227" s="170" t="str">
        <f t="shared" si="95"/>
        <v/>
      </c>
      <c r="I227" s="171"/>
      <c r="J227" s="171"/>
      <c r="K227" s="172" t="str">
        <f t="shared" si="71"/>
        <v/>
      </c>
      <c r="L227" s="173"/>
      <c r="M227" s="173"/>
      <c r="N227" s="15"/>
      <c r="O227" s="213"/>
      <c r="P227" s="167"/>
      <c r="Q227" s="168"/>
      <c r="R227" s="25"/>
    </row>
    <row r="228" spans="2:18">
      <c r="B228" s="21"/>
      <c r="C228" s="63" t="str">
        <f>IF(C187="","",C187)</f>
        <v/>
      </c>
      <c r="D228" s="174" t="str">
        <f>IF(D187="","",D187)</f>
        <v/>
      </c>
      <c r="E228" s="174"/>
      <c r="F228" s="174"/>
      <c r="G228" s="78" t="str">
        <f>IF(G187="","",G187)</f>
        <v/>
      </c>
      <c r="H228" s="175" t="str">
        <f>IF(H187="","",H187)</f>
        <v/>
      </c>
      <c r="I228" s="176"/>
      <c r="J228" s="176"/>
      <c r="K228" s="177" t="str">
        <f t="shared" si="71"/>
        <v/>
      </c>
      <c r="L228" s="178"/>
      <c r="M228" s="178"/>
      <c r="N228" s="15"/>
      <c r="O228" s="213"/>
      <c r="P228" s="167"/>
      <c r="Q228" s="168"/>
      <c r="R228" s="25"/>
    </row>
    <row r="229" spans="2:18">
      <c r="B229" s="21"/>
      <c r="C229" s="37"/>
      <c r="D229" s="135"/>
      <c r="E229" s="135"/>
      <c r="F229" s="135"/>
      <c r="G229" s="37"/>
      <c r="H229" s="119"/>
      <c r="I229" s="119"/>
      <c r="J229" s="119"/>
      <c r="K229" s="119"/>
      <c r="L229" s="119"/>
      <c r="M229" s="119"/>
      <c r="N229" s="15"/>
      <c r="O229" s="213"/>
      <c r="P229" s="167"/>
      <c r="Q229" s="168"/>
      <c r="R229" s="25"/>
    </row>
    <row r="230" spans="2:18">
      <c r="B230" s="21"/>
      <c r="C230" s="179"/>
      <c r="D230" s="180"/>
      <c r="E230" s="180"/>
      <c r="F230" s="180"/>
      <c r="G230" s="181"/>
      <c r="H230" s="188" t="s">
        <v>24</v>
      </c>
      <c r="I230" s="189"/>
      <c r="J230" s="190"/>
      <c r="K230" s="191" t="s">
        <v>4</v>
      </c>
      <c r="L230" s="192"/>
      <c r="M230" s="193"/>
      <c r="N230" s="15"/>
      <c r="O230" s="213"/>
      <c r="P230" s="167"/>
      <c r="Q230" s="168"/>
      <c r="R230" s="25"/>
    </row>
    <row r="231" spans="2:18">
      <c r="B231" s="21"/>
      <c r="C231" s="182"/>
      <c r="D231" s="183"/>
      <c r="E231" s="183"/>
      <c r="F231" s="183"/>
      <c r="G231" s="184"/>
      <c r="H231" s="194">
        <f>IF(H190="","",H190)</f>
        <v>357.75</v>
      </c>
      <c r="I231" s="195"/>
      <c r="J231" s="196"/>
      <c r="K231" s="197">
        <f>IF(K190="","",K190)</f>
        <v>0</v>
      </c>
      <c r="L231" s="198"/>
      <c r="M231" s="199"/>
      <c r="N231" s="15"/>
      <c r="O231" s="213"/>
      <c r="P231" s="167"/>
      <c r="Q231" s="168"/>
      <c r="R231" s="25"/>
    </row>
    <row r="232" spans="2:18">
      <c r="B232" s="21"/>
      <c r="C232" s="182"/>
      <c r="D232" s="183"/>
      <c r="E232" s="183"/>
      <c r="F232" s="183"/>
      <c r="G232" s="184"/>
      <c r="H232" s="141"/>
      <c r="I232" s="141"/>
      <c r="J232" s="141"/>
      <c r="K232" s="141"/>
      <c r="L232" s="141"/>
      <c r="M232" s="141"/>
      <c r="N232" s="15"/>
      <c r="O232" s="213"/>
      <c r="P232" s="167"/>
      <c r="Q232" s="168"/>
      <c r="R232" s="25"/>
    </row>
    <row r="233" spans="2:18">
      <c r="B233" s="21"/>
      <c r="C233" s="182"/>
      <c r="D233" s="183"/>
      <c r="E233" s="183"/>
      <c r="F233" s="183"/>
      <c r="G233" s="184"/>
      <c r="H233" s="200" t="s">
        <v>25</v>
      </c>
      <c r="I233" s="201"/>
      <c r="J233" s="201"/>
      <c r="K233" s="152">
        <f>IF(K192="","",K192)</f>
        <v>357.75</v>
      </c>
      <c r="L233" s="153"/>
      <c r="M233" s="154"/>
      <c r="N233" s="15"/>
      <c r="O233" s="213"/>
      <c r="P233" s="167"/>
      <c r="Q233" s="168"/>
      <c r="R233" s="25"/>
    </row>
    <row r="234" spans="2:18">
      <c r="B234" s="21"/>
      <c r="C234" s="185"/>
      <c r="D234" s="186"/>
      <c r="E234" s="186"/>
      <c r="F234" s="186"/>
      <c r="G234" s="187"/>
      <c r="H234" s="202"/>
      <c r="I234" s="203"/>
      <c r="J234" s="203"/>
      <c r="K234" s="155"/>
      <c r="L234" s="156"/>
      <c r="M234" s="157"/>
      <c r="N234" s="15"/>
      <c r="O234" s="213"/>
      <c r="P234" s="167"/>
      <c r="Q234" s="168"/>
      <c r="R234" s="25"/>
    </row>
    <row r="235" spans="2:18">
      <c r="B235" s="21"/>
      <c r="C235" s="75"/>
      <c r="D235" s="75"/>
      <c r="E235" s="75"/>
      <c r="F235" s="75"/>
      <c r="G235" s="75"/>
      <c r="H235" s="39"/>
      <c r="I235" s="39"/>
      <c r="J235" s="39"/>
      <c r="K235" s="40"/>
      <c r="L235" s="40"/>
      <c r="M235" s="40"/>
      <c r="N235" s="15"/>
      <c r="O235" s="213"/>
      <c r="P235" s="167"/>
      <c r="Q235" s="168"/>
      <c r="R235" s="25"/>
    </row>
    <row r="236" spans="2:18">
      <c r="B236" s="23"/>
      <c r="C236" s="158" t="s">
        <v>18</v>
      </c>
      <c r="D236" s="159"/>
      <c r="E236" s="51" t="s">
        <v>19</v>
      </c>
      <c r="F236" s="76" t="s">
        <v>20</v>
      </c>
      <c r="G236" s="159" t="s">
        <v>21</v>
      </c>
      <c r="H236" s="159"/>
      <c r="I236" s="160" t="s">
        <v>27</v>
      </c>
      <c r="J236" s="160"/>
      <c r="K236" s="160"/>
      <c r="L236" s="160" t="s">
        <v>26</v>
      </c>
      <c r="M236" s="161"/>
      <c r="N236" s="17"/>
      <c r="O236" s="213"/>
      <c r="P236" s="167"/>
      <c r="Q236" s="168"/>
      <c r="R236" s="27"/>
    </row>
    <row r="237" spans="2:18">
      <c r="B237" s="21"/>
      <c r="C237" s="162">
        <f>IF(C196="","",C196)</f>
        <v>357.75</v>
      </c>
      <c r="D237" s="163"/>
      <c r="E237" s="73">
        <f>IF(E196="","",E196)</f>
        <v>0</v>
      </c>
      <c r="F237" s="82">
        <f>IF(F196="","",F196)</f>
        <v>357.75</v>
      </c>
      <c r="G237" s="163">
        <f>IF(G196="","",G196)</f>
        <v>28.62</v>
      </c>
      <c r="H237" s="163"/>
      <c r="I237" s="164">
        <f>IF(I196="","",I196)</f>
        <v>0</v>
      </c>
      <c r="J237" s="164"/>
      <c r="K237" s="164"/>
      <c r="L237" s="165" t="str">
        <f>IF(L196="","",L196)</f>
        <v>-</v>
      </c>
      <c r="M237" s="166"/>
      <c r="N237" s="15"/>
      <c r="O237" s="214"/>
      <c r="P237" s="69"/>
      <c r="Q237" s="70"/>
      <c r="R237" s="25"/>
    </row>
    <row r="238" spans="2:18">
      <c r="B238" s="24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8"/>
    </row>
    <row r="239" spans="2:18">
      <c r="B239" s="24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8"/>
    </row>
    <row r="240" spans="2:18">
      <c r="B240" s="18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20"/>
    </row>
    <row r="241" spans="2:18">
      <c r="B241" s="21"/>
      <c r="C241" s="242" t="s">
        <v>45</v>
      </c>
      <c r="D241" s="243"/>
      <c r="E241" s="243"/>
      <c r="F241" s="243"/>
      <c r="G241" s="208" t="s">
        <v>5</v>
      </c>
      <c r="H241" s="208"/>
      <c r="I241" s="208"/>
      <c r="J241" s="208"/>
      <c r="K241" s="208"/>
      <c r="L241" s="208"/>
      <c r="M241" s="209"/>
      <c r="N241" s="15"/>
      <c r="O241" s="212" t="s">
        <v>29</v>
      </c>
      <c r="P241" s="64"/>
      <c r="Q241" s="65"/>
      <c r="R241" s="25"/>
    </row>
    <row r="242" spans="2:18">
      <c r="B242" s="21"/>
      <c r="C242" s="244"/>
      <c r="D242" s="245"/>
      <c r="E242" s="245"/>
      <c r="F242" s="245"/>
      <c r="G242" s="210"/>
      <c r="H242" s="210"/>
      <c r="I242" s="210"/>
      <c r="J242" s="210"/>
      <c r="K242" s="210"/>
      <c r="L242" s="210"/>
      <c r="M242" s="211"/>
      <c r="N242" s="15"/>
      <c r="O242" s="213"/>
      <c r="P242" s="215" t="s">
        <v>32</v>
      </c>
      <c r="Q242" s="66"/>
      <c r="R242" s="25"/>
    </row>
    <row r="243" spans="2:18">
      <c r="B243" s="21"/>
      <c r="C243" s="246" t="s">
        <v>46</v>
      </c>
      <c r="D243" s="247"/>
      <c r="E243" s="247"/>
      <c r="F243" s="247"/>
      <c r="G243" s="218" t="s">
        <v>52</v>
      </c>
      <c r="H243" s="218"/>
      <c r="I243" s="218"/>
      <c r="J243" s="218"/>
      <c r="K243" s="218"/>
      <c r="L243" s="218"/>
      <c r="M243" s="219"/>
      <c r="N243" s="15"/>
      <c r="O243" s="213"/>
      <c r="P243" s="215"/>
      <c r="Q243" s="168" t="s">
        <v>31</v>
      </c>
      <c r="R243" s="25"/>
    </row>
    <row r="244" spans="2:18">
      <c r="B244" s="21"/>
      <c r="C244" s="183"/>
      <c r="D244" s="183"/>
      <c r="E244" s="183"/>
      <c r="F244" s="183"/>
      <c r="G244" s="183"/>
      <c r="H244" s="183"/>
      <c r="I244" s="183"/>
      <c r="J244" s="183"/>
      <c r="K244" s="183"/>
      <c r="L244" s="183"/>
      <c r="M244" s="183"/>
      <c r="N244" s="15"/>
      <c r="O244" s="213"/>
      <c r="P244" s="215"/>
      <c r="Q244" s="168"/>
      <c r="R244" s="25"/>
    </row>
    <row r="245" spans="2:18">
      <c r="B245" s="22"/>
      <c r="C245" s="49" t="s">
        <v>9</v>
      </c>
      <c r="D245" s="159" t="s">
        <v>10</v>
      </c>
      <c r="E245" s="159"/>
      <c r="F245" s="159"/>
      <c r="G245" s="50" t="s">
        <v>11</v>
      </c>
      <c r="H245" s="51" t="s">
        <v>12</v>
      </c>
      <c r="I245" s="51" t="s">
        <v>13</v>
      </c>
      <c r="J245" s="51" t="s">
        <v>14</v>
      </c>
      <c r="K245" s="101" t="s">
        <v>15</v>
      </c>
      <c r="L245" s="52" t="s">
        <v>16</v>
      </c>
      <c r="M245" s="102" t="s">
        <v>17</v>
      </c>
      <c r="N245" s="16"/>
      <c r="O245" s="213"/>
      <c r="P245" s="215"/>
      <c r="Q245" s="168"/>
      <c r="R245" s="26"/>
    </row>
    <row r="246" spans="2:18">
      <c r="B246" s="21"/>
      <c r="C246" s="34">
        <v>1</v>
      </c>
      <c r="D246" s="220" t="str">
        <f>IFERROR(VLOOKUP(C246,'Base de Dados'!C:D,2,0),"")</f>
        <v>ANA PAULA PIRES DE CARVALHO</v>
      </c>
      <c r="E246" s="220"/>
      <c r="F246" s="220"/>
      <c r="G246" s="220" t="str">
        <f>IFERROR(VLOOKUP(C246,'Base de Dados'!C:E,3,0),"")</f>
        <v>RECEPCIONISTA</v>
      </c>
      <c r="H246" s="220"/>
      <c r="I246" s="220"/>
      <c r="J246" s="220"/>
      <c r="K246" s="220"/>
      <c r="L246" s="220"/>
      <c r="M246" s="248"/>
      <c r="N246" s="15"/>
      <c r="O246" s="213"/>
      <c r="P246" s="215"/>
      <c r="Q246" s="168"/>
      <c r="R246" s="25"/>
    </row>
    <row r="247" spans="2:18">
      <c r="B247" s="21"/>
      <c r="C247" s="183"/>
      <c r="D247" s="183"/>
      <c r="E247" s="183"/>
      <c r="F247" s="183"/>
      <c r="G247" s="183"/>
      <c r="H247" s="183"/>
      <c r="I247" s="183"/>
      <c r="J247" s="183"/>
      <c r="K247" s="183"/>
      <c r="L247" s="183"/>
      <c r="M247" s="183"/>
      <c r="N247" s="15"/>
      <c r="O247" s="213"/>
      <c r="P247" s="215"/>
      <c r="Q247" s="168"/>
      <c r="R247" s="25"/>
    </row>
    <row r="248" spans="2:18">
      <c r="B248" s="21"/>
      <c r="C248" s="106" t="s">
        <v>22</v>
      </c>
      <c r="D248" s="223" t="s">
        <v>1</v>
      </c>
      <c r="E248" s="223"/>
      <c r="F248" s="223"/>
      <c r="G248" s="106" t="s">
        <v>23</v>
      </c>
      <c r="H248" s="223" t="s">
        <v>2</v>
      </c>
      <c r="I248" s="223"/>
      <c r="J248" s="223"/>
      <c r="K248" s="223" t="s">
        <v>3</v>
      </c>
      <c r="L248" s="223"/>
      <c r="M248" s="223"/>
      <c r="N248" s="15"/>
      <c r="O248" s="213"/>
      <c r="P248" s="215"/>
      <c r="Q248" s="168"/>
      <c r="R248" s="25"/>
    </row>
    <row r="249" spans="2:18">
      <c r="B249" s="21"/>
      <c r="C249" s="99"/>
      <c r="D249" s="126"/>
      <c r="E249" s="126"/>
      <c r="F249" s="126"/>
      <c r="G249" s="99"/>
      <c r="H249" s="126"/>
      <c r="I249" s="126"/>
      <c r="J249" s="126"/>
      <c r="K249" s="126"/>
      <c r="L249" s="126"/>
      <c r="M249" s="126"/>
      <c r="N249" s="15"/>
      <c r="O249" s="213"/>
      <c r="P249" s="215"/>
      <c r="Q249" s="168"/>
      <c r="R249" s="25"/>
    </row>
    <row r="250" spans="2:18">
      <c r="B250" s="88">
        <v>1</v>
      </c>
      <c r="C250" s="61">
        <v>151</v>
      </c>
      <c r="D250" s="249" t="str">
        <f>IFERROR(VLOOKUP(C250,Configuração!A:B,2,0),"")</f>
        <v xml:space="preserve">13º SALARIO INTEGRAL </v>
      </c>
      <c r="E250" s="249"/>
      <c r="F250" s="249"/>
      <c r="G250" s="108">
        <v>12</v>
      </c>
      <c r="H250" s="250">
        <v>715.5</v>
      </c>
      <c r="I250" s="250"/>
      <c r="J250" s="250"/>
      <c r="K250" s="227" t="str">
        <f>IFERROR(IF(VLOOKUP(B250&amp;"-"&amp;$C$8,'Base de Dados'!B:J,9,0)=0,"",VLOOKUP(B250&amp;"-"&amp;$C$8,'Base de Dados'!B:J,9,0)),"")</f>
        <v/>
      </c>
      <c r="L250" s="227"/>
      <c r="M250" s="227"/>
      <c r="N250" s="15"/>
      <c r="O250" s="213"/>
      <c r="P250" s="215"/>
      <c r="Q250" s="168"/>
      <c r="R250" s="25"/>
    </row>
    <row r="251" spans="2:18">
      <c r="B251" s="88">
        <v>2</v>
      </c>
      <c r="C251" s="62">
        <v>150</v>
      </c>
      <c r="D251" s="169" t="str">
        <f>IFERROR(VLOOKUP(C251,Configuração!A:B,2,0),"")</f>
        <v>13º SALARIO ADIANTADO</v>
      </c>
      <c r="E251" s="169"/>
      <c r="F251" s="169"/>
      <c r="G251" s="109">
        <v>357.75</v>
      </c>
      <c r="H251" s="251"/>
      <c r="I251" s="251"/>
      <c r="J251" s="251"/>
      <c r="K251" s="252">
        <v>357.75</v>
      </c>
      <c r="L251" s="253"/>
      <c r="M251" s="254"/>
      <c r="N251" s="15"/>
      <c r="O251" s="213"/>
      <c r="P251" s="215"/>
      <c r="Q251" s="168"/>
      <c r="R251" s="25"/>
    </row>
    <row r="252" spans="2:18">
      <c r="B252" s="88">
        <v>3</v>
      </c>
      <c r="C252" s="62">
        <v>973</v>
      </c>
      <c r="D252" s="169" t="str">
        <f>IFERROR(VLOOKUP(C252,Configuração!A:B,2,0),"")</f>
        <v>INSS</v>
      </c>
      <c r="E252" s="169"/>
      <c r="F252" s="169"/>
      <c r="G252" s="95">
        <v>0.08</v>
      </c>
      <c r="H252" s="239"/>
      <c r="I252" s="240"/>
      <c r="J252" s="241"/>
      <c r="K252" s="170">
        <f>H250*G252</f>
        <v>57.24</v>
      </c>
      <c r="L252" s="170"/>
      <c r="M252" s="170"/>
      <c r="N252" s="15"/>
      <c r="O252" s="213"/>
      <c r="P252" s="215"/>
      <c r="Q252" s="168"/>
      <c r="R252" s="25"/>
    </row>
    <row r="253" spans="2:18">
      <c r="B253" s="88">
        <v>4</v>
      </c>
      <c r="C253" s="62"/>
      <c r="D253" s="236" t="str">
        <f>IFERROR(VLOOKUP(C253,Configuração!A:B,2,0),"")</f>
        <v/>
      </c>
      <c r="E253" s="237"/>
      <c r="F253" s="238"/>
      <c r="G253" s="97"/>
      <c r="H253" s="239"/>
      <c r="I253" s="240"/>
      <c r="J253" s="241"/>
      <c r="K253" s="170"/>
      <c r="L253" s="170"/>
      <c r="M253" s="170"/>
      <c r="N253" s="15"/>
      <c r="O253" s="213"/>
      <c r="P253" s="215"/>
      <c r="Q253" s="168"/>
      <c r="R253" s="25"/>
    </row>
    <row r="254" spans="2:18">
      <c r="B254" s="88">
        <v>5</v>
      </c>
      <c r="C254" s="62"/>
      <c r="D254" s="236"/>
      <c r="E254" s="237"/>
      <c r="F254" s="238"/>
      <c r="G254" s="91"/>
      <c r="H254" s="231"/>
      <c r="I254" s="231"/>
      <c r="J254" s="231"/>
      <c r="K254" s="172" t="str">
        <f>IFERROR(IF(VLOOKUP(B254&amp;"-"&amp;$C$8,'Base de Dados'!B:J,9,0)=0,"",VLOOKUP(B254&amp;"-"&amp;$C$8,'Base de Dados'!B:J,9,0)),"")</f>
        <v/>
      </c>
      <c r="L254" s="172"/>
      <c r="M254" s="172"/>
      <c r="N254" s="15"/>
      <c r="O254" s="213"/>
      <c r="P254" s="215"/>
      <c r="Q254" s="168"/>
      <c r="R254" s="25"/>
    </row>
    <row r="255" spans="2:18">
      <c r="B255" s="88">
        <v>6</v>
      </c>
      <c r="C255" s="62"/>
      <c r="D255" s="236"/>
      <c r="E255" s="237"/>
      <c r="F255" s="238"/>
      <c r="G255" s="91"/>
      <c r="H255" s="231"/>
      <c r="I255" s="231"/>
      <c r="J255" s="231"/>
      <c r="K255" s="172"/>
      <c r="L255" s="172"/>
      <c r="M255" s="172"/>
      <c r="N255" s="15"/>
      <c r="O255" s="213"/>
      <c r="P255" s="215"/>
      <c r="Q255" s="168"/>
      <c r="R255" s="25"/>
    </row>
    <row r="256" spans="2:18">
      <c r="B256" s="88">
        <v>7</v>
      </c>
      <c r="C256" s="62"/>
      <c r="D256" s="169"/>
      <c r="E256" s="169"/>
      <c r="F256" s="169"/>
      <c r="G256" s="91"/>
      <c r="H256" s="231"/>
      <c r="I256" s="231"/>
      <c r="J256" s="231"/>
      <c r="K256" s="172"/>
      <c r="L256" s="172"/>
      <c r="M256" s="172"/>
      <c r="N256" s="15"/>
      <c r="O256" s="213"/>
      <c r="P256" s="215"/>
      <c r="Q256" s="168"/>
      <c r="R256" s="25"/>
    </row>
    <row r="257" spans="2:18">
      <c r="B257" s="88">
        <v>8</v>
      </c>
      <c r="C257" s="62"/>
      <c r="D257" s="169"/>
      <c r="E257" s="169"/>
      <c r="F257" s="169"/>
      <c r="G257" s="91"/>
      <c r="H257" s="231"/>
      <c r="I257" s="231"/>
      <c r="J257" s="231"/>
      <c r="K257" s="172"/>
      <c r="L257" s="172"/>
      <c r="M257" s="172"/>
      <c r="N257" s="15"/>
      <c r="O257" s="213"/>
      <c r="P257" s="215"/>
      <c r="Q257" s="168"/>
      <c r="R257" s="25"/>
    </row>
    <row r="258" spans="2:18">
      <c r="B258" s="88">
        <v>9</v>
      </c>
      <c r="C258" s="62"/>
      <c r="D258" s="169"/>
      <c r="E258" s="169"/>
      <c r="F258" s="169"/>
      <c r="G258" s="91"/>
      <c r="H258" s="231"/>
      <c r="I258" s="231"/>
      <c r="J258" s="231"/>
      <c r="K258" s="172"/>
      <c r="L258" s="172"/>
      <c r="M258" s="172"/>
      <c r="N258" s="15"/>
      <c r="O258" s="213"/>
      <c r="P258" s="215"/>
      <c r="Q258" s="168"/>
      <c r="R258" s="25"/>
    </row>
    <row r="259" spans="2:18">
      <c r="B259" s="88">
        <v>10</v>
      </c>
      <c r="C259" s="62"/>
      <c r="D259" s="169"/>
      <c r="E259" s="169"/>
      <c r="F259" s="169"/>
      <c r="G259" s="91"/>
      <c r="H259" s="231"/>
      <c r="I259" s="231"/>
      <c r="J259" s="231"/>
      <c r="K259" s="172"/>
      <c r="L259" s="172"/>
      <c r="M259" s="172"/>
      <c r="N259" s="15"/>
      <c r="O259" s="213"/>
      <c r="P259" s="215"/>
      <c r="Q259" s="168"/>
      <c r="R259" s="25"/>
    </row>
    <row r="260" spans="2:18">
      <c r="B260" s="88">
        <v>11</v>
      </c>
      <c r="C260" s="62"/>
      <c r="D260" s="169"/>
      <c r="E260" s="169"/>
      <c r="F260" s="169"/>
      <c r="G260" s="91"/>
      <c r="H260" s="231"/>
      <c r="I260" s="231"/>
      <c r="J260" s="231"/>
      <c r="K260" s="172"/>
      <c r="L260" s="172"/>
      <c r="M260" s="172"/>
      <c r="N260" s="15"/>
      <c r="O260" s="213"/>
      <c r="P260" s="215"/>
      <c r="Q260" s="168"/>
      <c r="R260" s="25"/>
    </row>
    <row r="261" spans="2:18">
      <c r="B261" s="88">
        <v>12</v>
      </c>
      <c r="C261" s="62" t="str">
        <f>IFERROR(VLOOKUP(B261&amp;"-"&amp;$C$8,'Base de Dados'!B:F,5,0),"")</f>
        <v/>
      </c>
      <c r="D261" s="169" t="str">
        <f>IFERROR(VLOOKUP(C261,Configuração!A:B,2,0),"")</f>
        <v/>
      </c>
      <c r="E261" s="169"/>
      <c r="F261" s="169"/>
      <c r="G261" s="91" t="str">
        <f>IFERROR(VLOOKUP(B261&amp;"-"&amp;$C$8,'Base de Dados'!B:H,7,0),"")</f>
        <v/>
      </c>
      <c r="H261" s="231" t="str">
        <f>IFERROR(IF(VLOOKUP(B261&amp;"-"&amp;$C$8,'Base de Dados'!B:I,8,0)=0,"",VLOOKUP(B261&amp;"-"&amp;$C$8,'Base de Dados'!B:I,8,0)),"")</f>
        <v/>
      </c>
      <c r="I261" s="231"/>
      <c r="J261" s="231"/>
      <c r="K261" s="172" t="str">
        <f>IFERROR(IF(VLOOKUP(B261&amp;"-"&amp;$C$8,'Base de Dados'!B:J,9,0)=0,"",VLOOKUP(B261&amp;"-"&amp;$C$8,'Base de Dados'!B:J,9,0)),"")</f>
        <v/>
      </c>
      <c r="L261" s="172"/>
      <c r="M261" s="172"/>
      <c r="N261" s="15"/>
      <c r="O261" s="213"/>
      <c r="P261" s="67"/>
      <c r="Q261" s="68"/>
      <c r="R261" s="25"/>
    </row>
    <row r="262" spans="2:18">
      <c r="B262" s="88">
        <v>13</v>
      </c>
      <c r="C262" s="62" t="str">
        <f>IFERROR(VLOOKUP(B262&amp;"-"&amp;$C$8,'Base de Dados'!B:F,5,0),"")</f>
        <v/>
      </c>
      <c r="D262" s="169" t="str">
        <f>IFERROR(VLOOKUP(C262,Configuração!A:B,2,0),"")</f>
        <v/>
      </c>
      <c r="E262" s="169"/>
      <c r="F262" s="169"/>
      <c r="G262" s="91" t="str">
        <f>IFERROR(VLOOKUP(B262&amp;"-"&amp;$C$8,'Base de Dados'!B:H,7,0),"")</f>
        <v/>
      </c>
      <c r="H262" s="231" t="str">
        <f>IFERROR(IF(VLOOKUP(B262&amp;"-"&amp;$C$8,'Base de Dados'!B:I,8,0)=0,"",VLOOKUP(B262&amp;"-"&amp;$C$8,'Base de Dados'!B:I,8,0)),"")</f>
        <v/>
      </c>
      <c r="I262" s="231"/>
      <c r="J262" s="231"/>
      <c r="K262" s="172" t="str">
        <f>IFERROR(IF(VLOOKUP(B262&amp;"-"&amp;$C$8,'Base de Dados'!B:J,9,0)=0,"",VLOOKUP(B262&amp;"-"&amp;$C$8,'Base de Dados'!B:J,9,0)),"")</f>
        <v/>
      </c>
      <c r="L262" s="172"/>
      <c r="M262" s="172"/>
      <c r="N262" s="15"/>
      <c r="O262" s="213"/>
      <c r="P262" s="67"/>
      <c r="Q262" s="68"/>
      <c r="R262" s="25"/>
    </row>
    <row r="263" spans="2:18">
      <c r="B263" s="88">
        <v>14</v>
      </c>
      <c r="C263" s="62" t="str">
        <f>IFERROR(VLOOKUP(B263&amp;"-"&amp;$C$8,'Base de Dados'!B:F,5,0),"")</f>
        <v/>
      </c>
      <c r="D263" s="169" t="str">
        <f>IFERROR(VLOOKUP(C263,Configuração!A:B,2,0),"")</f>
        <v/>
      </c>
      <c r="E263" s="169"/>
      <c r="F263" s="169"/>
      <c r="G263" s="91" t="str">
        <f>IFERROR(VLOOKUP(B263&amp;"-"&amp;$C$8,'Base de Dados'!B:H,7,0),"")</f>
        <v/>
      </c>
      <c r="H263" s="231" t="str">
        <f>IFERROR(IF(VLOOKUP(B263&amp;"-"&amp;$C$8,'Base de Dados'!B:I,8,0)=0,"",VLOOKUP(B263&amp;"-"&amp;$C$8,'Base de Dados'!B:I,8,0)),"")</f>
        <v/>
      </c>
      <c r="I263" s="231"/>
      <c r="J263" s="231"/>
      <c r="K263" s="172" t="str">
        <f>IFERROR(IF(VLOOKUP(B263&amp;"-"&amp;$C$8,'Base de Dados'!B:J,9,0)=0,"",VLOOKUP(B263&amp;"-"&amp;$C$8,'Base de Dados'!B:J,9,0)),"")</f>
        <v/>
      </c>
      <c r="L263" s="172"/>
      <c r="M263" s="172"/>
      <c r="N263" s="15"/>
      <c r="O263" s="213"/>
      <c r="P263" s="167" t="s">
        <v>33</v>
      </c>
      <c r="Q263" s="168" t="s">
        <v>30</v>
      </c>
      <c r="R263" s="25"/>
    </row>
    <row r="264" spans="2:18">
      <c r="B264" s="88">
        <v>15</v>
      </c>
      <c r="C264" s="62" t="str">
        <f>IFERROR(VLOOKUP(B264&amp;"-"&amp;$C$8,'Base de Dados'!B:F,5,0),"")</f>
        <v/>
      </c>
      <c r="D264" s="169" t="str">
        <f>IFERROR(VLOOKUP(C264,Configuração!A:B,2,0),"")</f>
        <v/>
      </c>
      <c r="E264" s="169"/>
      <c r="F264" s="169"/>
      <c r="G264" s="91" t="str">
        <f>IFERROR(VLOOKUP(B264&amp;"-"&amp;$C$8,'Base de Dados'!B:H,7,0),"")</f>
        <v/>
      </c>
      <c r="H264" s="231" t="str">
        <f>IFERROR(IF(VLOOKUP(B264&amp;"-"&amp;$C$8,'Base de Dados'!B:I,8,0)=0,"",VLOOKUP(B264&amp;"-"&amp;$C$8,'Base de Dados'!B:I,8,0)),"")</f>
        <v/>
      </c>
      <c r="I264" s="231"/>
      <c r="J264" s="231"/>
      <c r="K264" s="172" t="str">
        <f>IFERROR(IF(VLOOKUP(B264&amp;"-"&amp;$C$8,'Base de Dados'!B:J,9,0)=0,"",VLOOKUP(B264&amp;"-"&amp;$C$8,'Base de Dados'!B:J,9,0)),"")</f>
        <v/>
      </c>
      <c r="L264" s="172"/>
      <c r="M264" s="172"/>
      <c r="N264" s="15"/>
      <c r="O264" s="213"/>
      <c r="P264" s="167"/>
      <c r="Q264" s="168"/>
      <c r="R264" s="25"/>
    </row>
    <row r="265" spans="2:18">
      <c r="B265" s="88">
        <v>16</v>
      </c>
      <c r="C265" s="62" t="str">
        <f>IFERROR(VLOOKUP(B265&amp;"-"&amp;$C$8,'Base de Dados'!B:F,5,0),"")</f>
        <v/>
      </c>
      <c r="D265" s="169" t="str">
        <f>IFERROR(VLOOKUP(C265,Configuração!A:B,2,0),"")</f>
        <v/>
      </c>
      <c r="E265" s="169"/>
      <c r="F265" s="169"/>
      <c r="G265" s="91" t="str">
        <f>IFERROR(VLOOKUP(B265&amp;"-"&amp;$C$8,'Base de Dados'!B:H,7,0),"")</f>
        <v/>
      </c>
      <c r="H265" s="231" t="str">
        <f>IFERROR(IF(VLOOKUP(B265&amp;"-"&amp;$C$8,'Base de Dados'!B:I,8,0)=0,"",VLOOKUP(B265&amp;"-"&amp;$C$8,'Base de Dados'!B:I,8,0)),"")</f>
        <v/>
      </c>
      <c r="I265" s="231"/>
      <c r="J265" s="231"/>
      <c r="K265" s="172" t="str">
        <f>IFERROR(IF(VLOOKUP(B265&amp;"-"&amp;$C$8,'Base de Dados'!B:J,9,0)=0,"",VLOOKUP(B265&amp;"-"&amp;$C$8,'Base de Dados'!B:J,9,0)),"")</f>
        <v/>
      </c>
      <c r="L265" s="172"/>
      <c r="M265" s="172"/>
      <c r="N265" s="15"/>
      <c r="O265" s="213"/>
      <c r="P265" s="167"/>
      <c r="Q265" s="168"/>
      <c r="R265" s="25"/>
    </row>
    <row r="266" spans="2:18">
      <c r="B266" s="88">
        <v>17</v>
      </c>
      <c r="C266" s="62" t="str">
        <f>IFERROR(VLOOKUP(B266&amp;"-"&amp;$C$8,'Base de Dados'!B:F,5,0),"")</f>
        <v/>
      </c>
      <c r="D266" s="169" t="str">
        <f>IFERROR(VLOOKUP(C266,Configuração!A:B,2,0),"")</f>
        <v/>
      </c>
      <c r="E266" s="169"/>
      <c r="F266" s="169"/>
      <c r="G266" s="91" t="str">
        <f>IFERROR(VLOOKUP(B266&amp;"-"&amp;$C$8,'Base de Dados'!B:H,7,0),"")</f>
        <v/>
      </c>
      <c r="H266" s="231" t="str">
        <f>IFERROR(IF(VLOOKUP(B266&amp;"-"&amp;$C$8,'Base de Dados'!B:I,8,0)=0,"",VLOOKUP(B266&amp;"-"&amp;$C$8,'Base de Dados'!B:I,8,0)),"")</f>
        <v/>
      </c>
      <c r="I266" s="231"/>
      <c r="J266" s="231"/>
      <c r="K266" s="172" t="str">
        <f>IFERROR(IF(VLOOKUP(B266&amp;"-"&amp;$C$8,'Base de Dados'!B:J,9,0)=0,"",VLOOKUP(B266&amp;"-"&amp;$C$8,'Base de Dados'!B:J,9,0)),"")</f>
        <v/>
      </c>
      <c r="L266" s="172"/>
      <c r="M266" s="172"/>
      <c r="N266" s="15"/>
      <c r="O266" s="213"/>
      <c r="P266" s="167"/>
      <c r="Q266" s="168"/>
      <c r="R266" s="25"/>
    </row>
    <row r="267" spans="2:18">
      <c r="B267" s="88">
        <v>18</v>
      </c>
      <c r="C267" s="63" t="str">
        <f>IFERROR(VLOOKUP(B267&amp;"-"&amp;$C$8,'Base de Dados'!B:F,5,0),"")</f>
        <v/>
      </c>
      <c r="D267" s="232" t="str">
        <f>IFERROR(VLOOKUP(C267,Configuração!A:B,2,0),"")</f>
        <v/>
      </c>
      <c r="E267" s="232"/>
      <c r="F267" s="232"/>
      <c r="G267" s="92" t="str">
        <f>IFERROR(VLOOKUP(B267&amp;"-"&amp;$C$8,'Base de Dados'!B:H,7,0),"")</f>
        <v/>
      </c>
      <c r="H267" s="233" t="str">
        <f>IFERROR(IF(VLOOKUP(B267&amp;"-"&amp;$C$8,'Base de Dados'!B:I,8,0)=0,"",VLOOKUP(B267&amp;"-"&amp;$C$8,'Base de Dados'!B:I,8,0)),"")</f>
        <v/>
      </c>
      <c r="I267" s="233"/>
      <c r="J267" s="233"/>
      <c r="K267" s="177" t="str">
        <f>IFERROR(IF(VLOOKUP(B267&amp;"-"&amp;$C$8,'Base de Dados'!B:J,9,0)=0,"",VLOOKUP(B267&amp;"-"&amp;$C$8,'Base de Dados'!B:J,9,0)),"")</f>
        <v/>
      </c>
      <c r="L267" s="177"/>
      <c r="M267" s="177"/>
      <c r="N267" s="15"/>
      <c r="O267" s="213"/>
      <c r="P267" s="167"/>
      <c r="Q267" s="168"/>
      <c r="R267" s="25"/>
    </row>
    <row r="268" spans="2:18">
      <c r="B268" s="21"/>
      <c r="C268" s="37"/>
      <c r="D268" s="135"/>
      <c r="E268" s="135"/>
      <c r="F268" s="135"/>
      <c r="G268" s="37"/>
      <c r="H268" s="119"/>
      <c r="I268" s="119"/>
      <c r="J268" s="119"/>
      <c r="K268" s="119"/>
      <c r="L268" s="119"/>
      <c r="M268" s="119"/>
      <c r="N268" s="15"/>
      <c r="O268" s="213"/>
      <c r="P268" s="167"/>
      <c r="Q268" s="168"/>
      <c r="R268" s="25"/>
    </row>
    <row r="269" spans="2:18">
      <c r="B269" s="21"/>
      <c r="C269" s="179"/>
      <c r="D269" s="180"/>
      <c r="E269" s="180"/>
      <c r="F269" s="180"/>
      <c r="G269" s="181"/>
      <c r="H269" s="189" t="s">
        <v>24</v>
      </c>
      <c r="I269" s="189"/>
      <c r="J269" s="190"/>
      <c r="K269" s="191" t="s">
        <v>4</v>
      </c>
      <c r="L269" s="192"/>
      <c r="M269" s="193"/>
      <c r="N269" s="15"/>
      <c r="O269" s="213"/>
      <c r="P269" s="167"/>
      <c r="Q269" s="168"/>
      <c r="R269" s="25"/>
    </row>
    <row r="270" spans="2:18">
      <c r="B270" s="21"/>
      <c r="C270" s="182"/>
      <c r="D270" s="183"/>
      <c r="E270" s="183"/>
      <c r="F270" s="183"/>
      <c r="G270" s="184"/>
      <c r="H270" s="195">
        <f>SUM(H250:J267)</f>
        <v>715.5</v>
      </c>
      <c r="I270" s="195"/>
      <c r="J270" s="196"/>
      <c r="K270" s="197">
        <f>SUM(K251:M267)</f>
        <v>414.99</v>
      </c>
      <c r="L270" s="198"/>
      <c r="M270" s="199"/>
      <c r="N270" s="15"/>
      <c r="O270" s="213"/>
      <c r="P270" s="167"/>
      <c r="Q270" s="168"/>
      <c r="R270" s="25"/>
    </row>
    <row r="271" spans="2:18">
      <c r="B271" s="21"/>
      <c r="C271" s="182"/>
      <c r="D271" s="183"/>
      <c r="E271" s="183"/>
      <c r="F271" s="183"/>
      <c r="G271" s="184"/>
      <c r="H271" s="141"/>
      <c r="I271" s="141"/>
      <c r="J271" s="141"/>
      <c r="K271" s="141"/>
      <c r="L271" s="141"/>
      <c r="M271" s="141"/>
      <c r="N271" s="15"/>
      <c r="O271" s="213"/>
      <c r="P271" s="167"/>
      <c r="Q271" s="168"/>
      <c r="R271" s="25"/>
    </row>
    <row r="272" spans="2:18">
      <c r="B272" s="21"/>
      <c r="C272" s="182"/>
      <c r="D272" s="183"/>
      <c r="E272" s="183"/>
      <c r="F272" s="183"/>
      <c r="G272" s="184"/>
      <c r="H272" s="200" t="s">
        <v>25</v>
      </c>
      <c r="I272" s="201"/>
      <c r="J272" s="234"/>
      <c r="K272" s="152">
        <f>H270-K270</f>
        <v>300.51</v>
      </c>
      <c r="L272" s="153"/>
      <c r="M272" s="154"/>
      <c r="N272" s="15"/>
      <c r="O272" s="213"/>
      <c r="P272" s="167"/>
      <c r="Q272" s="168"/>
      <c r="R272" s="25"/>
    </row>
    <row r="273" spans="2:18">
      <c r="B273" s="21"/>
      <c r="C273" s="185"/>
      <c r="D273" s="186"/>
      <c r="E273" s="186"/>
      <c r="F273" s="186"/>
      <c r="G273" s="187"/>
      <c r="H273" s="202"/>
      <c r="I273" s="203"/>
      <c r="J273" s="235"/>
      <c r="K273" s="155"/>
      <c r="L273" s="156"/>
      <c r="M273" s="157"/>
      <c r="N273" s="15"/>
      <c r="O273" s="213"/>
      <c r="P273" s="167"/>
      <c r="Q273" s="168"/>
      <c r="R273" s="25"/>
    </row>
    <row r="274" spans="2:18">
      <c r="B274" s="21"/>
      <c r="C274" s="104"/>
      <c r="D274" s="104"/>
      <c r="E274" s="104"/>
      <c r="F274" s="104"/>
      <c r="G274" s="104"/>
      <c r="H274" s="39"/>
      <c r="I274" s="39"/>
      <c r="J274" s="39"/>
      <c r="K274" s="40"/>
      <c r="L274" s="40"/>
      <c r="M274" s="40"/>
      <c r="N274" s="15"/>
      <c r="O274" s="213"/>
      <c r="P274" s="167"/>
      <c r="Q274" s="168"/>
      <c r="R274" s="25"/>
    </row>
    <row r="275" spans="2:18">
      <c r="B275" s="23"/>
      <c r="C275" s="158" t="s">
        <v>18</v>
      </c>
      <c r="D275" s="159"/>
      <c r="E275" s="51" t="s">
        <v>19</v>
      </c>
      <c r="F275" s="100" t="s">
        <v>20</v>
      </c>
      <c r="G275" s="159" t="s">
        <v>21</v>
      </c>
      <c r="H275" s="159"/>
      <c r="I275" s="160" t="s">
        <v>27</v>
      </c>
      <c r="J275" s="160"/>
      <c r="K275" s="160"/>
      <c r="L275" s="160" t="s">
        <v>26</v>
      </c>
      <c r="M275" s="161"/>
      <c r="N275" s="17"/>
      <c r="O275" s="213"/>
      <c r="P275" s="167"/>
      <c r="Q275" s="168"/>
      <c r="R275" s="27"/>
    </row>
    <row r="276" spans="2:18">
      <c r="B276" s="21"/>
      <c r="C276" s="229">
        <f>H250</f>
        <v>715.5</v>
      </c>
      <c r="D276" s="230"/>
      <c r="E276" s="41">
        <f>H250+H251</f>
        <v>715.5</v>
      </c>
      <c r="F276" s="105">
        <f>H250+H251</f>
        <v>715.5</v>
      </c>
      <c r="G276" s="230">
        <f>F276*8%</f>
        <v>57.24</v>
      </c>
      <c r="H276" s="230"/>
      <c r="I276" s="164">
        <f>H250+H252+H251-K252</f>
        <v>658.26</v>
      </c>
      <c r="J276" s="164"/>
      <c r="K276" s="164"/>
      <c r="L276" s="165" t="s">
        <v>47</v>
      </c>
      <c r="M276" s="166"/>
      <c r="N276" s="15"/>
      <c r="O276" s="214"/>
      <c r="P276" s="69"/>
      <c r="Q276" s="70"/>
      <c r="R276" s="25"/>
    </row>
    <row r="277" spans="2:18">
      <c r="B277" s="24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8"/>
    </row>
    <row r="278" spans="2:18"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</row>
    <row r="279" spans="2:18">
      <c r="B279" s="151" t="s">
        <v>34</v>
      </c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</row>
    <row r="280" spans="2:18"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</row>
    <row r="281" spans="2:18">
      <c r="B281" s="18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20"/>
    </row>
    <row r="282" spans="2:18">
      <c r="B282" s="21"/>
      <c r="C282" s="204" t="str">
        <f>IF(C241="","",C241)</f>
        <v>MAYARA SILVA DE SOUZA &amp; CIA LTDA</v>
      </c>
      <c r="D282" s="205"/>
      <c r="E282" s="205"/>
      <c r="F282" s="205"/>
      <c r="G282" s="208" t="s">
        <v>5</v>
      </c>
      <c r="H282" s="208"/>
      <c r="I282" s="208"/>
      <c r="J282" s="208"/>
      <c r="K282" s="208"/>
      <c r="L282" s="208"/>
      <c r="M282" s="209"/>
      <c r="N282" s="15"/>
      <c r="O282" s="212" t="s">
        <v>29</v>
      </c>
      <c r="P282" s="64"/>
      <c r="Q282" s="65"/>
      <c r="R282" s="25"/>
    </row>
    <row r="283" spans="2:18">
      <c r="B283" s="21"/>
      <c r="C283" s="206"/>
      <c r="D283" s="207"/>
      <c r="E283" s="207"/>
      <c r="F283" s="207"/>
      <c r="G283" s="210"/>
      <c r="H283" s="210"/>
      <c r="I283" s="210"/>
      <c r="J283" s="210"/>
      <c r="K283" s="210"/>
      <c r="L283" s="210"/>
      <c r="M283" s="211"/>
      <c r="N283" s="15"/>
      <c r="O283" s="213"/>
      <c r="P283" s="215" t="s">
        <v>32</v>
      </c>
      <c r="Q283" s="66"/>
      <c r="R283" s="25"/>
    </row>
    <row r="284" spans="2:18">
      <c r="B284" s="21"/>
      <c r="C284" s="216" t="str">
        <f>IF(C243="","",C243)</f>
        <v>CNPJ: 22.900.819/0001-48</v>
      </c>
      <c r="D284" s="217"/>
      <c r="E284" s="217"/>
      <c r="F284" s="217"/>
      <c r="G284" s="218" t="str">
        <f>IF(G243="","",G243)</f>
        <v xml:space="preserve">13º . Integral 12/2018 </v>
      </c>
      <c r="H284" s="218"/>
      <c r="I284" s="218"/>
      <c r="J284" s="218"/>
      <c r="K284" s="218"/>
      <c r="L284" s="218"/>
      <c r="M284" s="219"/>
      <c r="N284" s="15"/>
      <c r="O284" s="213"/>
      <c r="P284" s="215"/>
      <c r="Q284" s="168" t="s">
        <v>31</v>
      </c>
      <c r="R284" s="25"/>
    </row>
    <row r="285" spans="2:18">
      <c r="B285" s="21"/>
      <c r="C285" s="183"/>
      <c r="D285" s="183"/>
      <c r="E285" s="183"/>
      <c r="F285" s="183"/>
      <c r="G285" s="183"/>
      <c r="H285" s="183"/>
      <c r="I285" s="183"/>
      <c r="J285" s="183"/>
      <c r="K285" s="183"/>
      <c r="L285" s="183"/>
      <c r="M285" s="183"/>
      <c r="N285" s="15"/>
      <c r="O285" s="213"/>
      <c r="P285" s="215"/>
      <c r="Q285" s="168"/>
      <c r="R285" s="25"/>
    </row>
    <row r="286" spans="2:18">
      <c r="B286" s="22"/>
      <c r="C286" s="49" t="s">
        <v>9</v>
      </c>
      <c r="D286" s="159" t="s">
        <v>10</v>
      </c>
      <c r="E286" s="159"/>
      <c r="F286" s="159"/>
      <c r="G286" s="50" t="s">
        <v>11</v>
      </c>
      <c r="H286" s="51" t="s">
        <v>12</v>
      </c>
      <c r="I286" s="51" t="s">
        <v>13</v>
      </c>
      <c r="J286" s="51" t="s">
        <v>14</v>
      </c>
      <c r="K286" s="101" t="s">
        <v>15</v>
      </c>
      <c r="L286" s="52" t="s">
        <v>16</v>
      </c>
      <c r="M286" s="102" t="s">
        <v>17</v>
      </c>
      <c r="N286" s="16"/>
      <c r="O286" s="213"/>
      <c r="P286" s="215"/>
      <c r="Q286" s="168"/>
      <c r="R286" s="26"/>
    </row>
    <row r="287" spans="2:18">
      <c r="B287" s="21"/>
      <c r="C287" s="34">
        <f>IF(C246="","",C246)</f>
        <v>1</v>
      </c>
      <c r="D287" s="220" t="str">
        <f>IF(D246="","",D246)</f>
        <v>ANA PAULA PIRES DE CARVALHO</v>
      </c>
      <c r="E287" s="220"/>
      <c r="F287" s="220"/>
      <c r="G287" s="221" t="str">
        <f>IF(G246="","",G246)</f>
        <v>RECEPCIONISTA</v>
      </c>
      <c r="H287" s="221"/>
      <c r="I287" s="221"/>
      <c r="J287" s="221"/>
      <c r="K287" s="221"/>
      <c r="L287" s="221"/>
      <c r="M287" s="222"/>
      <c r="N287" s="15"/>
      <c r="O287" s="213"/>
      <c r="P287" s="215"/>
      <c r="Q287" s="168"/>
      <c r="R287" s="25"/>
    </row>
    <row r="288" spans="2:18">
      <c r="B288" s="21"/>
      <c r="C288" s="183"/>
      <c r="D288" s="183"/>
      <c r="E288" s="183"/>
      <c r="F288" s="183"/>
      <c r="G288" s="183"/>
      <c r="H288" s="183"/>
      <c r="I288" s="183"/>
      <c r="J288" s="183"/>
      <c r="K288" s="183"/>
      <c r="L288" s="183"/>
      <c r="M288" s="183"/>
      <c r="N288" s="15"/>
      <c r="O288" s="213"/>
      <c r="P288" s="215"/>
      <c r="Q288" s="168"/>
      <c r="R288" s="25"/>
    </row>
    <row r="289" spans="2:18">
      <c r="B289" s="21"/>
      <c r="C289" s="106" t="s">
        <v>22</v>
      </c>
      <c r="D289" s="223" t="s">
        <v>1</v>
      </c>
      <c r="E289" s="223"/>
      <c r="F289" s="223"/>
      <c r="G289" s="106" t="s">
        <v>23</v>
      </c>
      <c r="H289" s="223" t="s">
        <v>2</v>
      </c>
      <c r="I289" s="223"/>
      <c r="J289" s="223"/>
      <c r="K289" s="223" t="s">
        <v>3</v>
      </c>
      <c r="L289" s="223"/>
      <c r="M289" s="223"/>
      <c r="N289" s="15"/>
      <c r="O289" s="213"/>
      <c r="P289" s="215"/>
      <c r="Q289" s="168"/>
      <c r="R289" s="25"/>
    </row>
    <row r="290" spans="2:18">
      <c r="B290" s="21"/>
      <c r="C290" s="99"/>
      <c r="D290" s="126"/>
      <c r="E290" s="126"/>
      <c r="F290" s="126"/>
      <c r="G290" s="99"/>
      <c r="H290" s="126"/>
      <c r="I290" s="126"/>
      <c r="J290" s="126"/>
      <c r="K290" s="126"/>
      <c r="L290" s="126"/>
      <c r="M290" s="126"/>
      <c r="N290" s="15"/>
      <c r="O290" s="213"/>
      <c r="P290" s="215"/>
      <c r="Q290" s="168"/>
      <c r="R290" s="25"/>
    </row>
    <row r="291" spans="2:18">
      <c r="B291" s="21"/>
      <c r="C291" s="61">
        <f>IF(C250="","",C250)</f>
        <v>151</v>
      </c>
      <c r="D291" s="224" t="str">
        <f>IF(D250="","",D250)</f>
        <v xml:space="preserve">13º SALARIO INTEGRAL </v>
      </c>
      <c r="E291" s="224"/>
      <c r="F291" s="224"/>
      <c r="G291" s="110">
        <f>IF(G250="","",G250)</f>
        <v>12</v>
      </c>
      <c r="H291" s="225">
        <f>IF(H250="","",H250)</f>
        <v>715.5</v>
      </c>
      <c r="I291" s="226"/>
      <c r="J291" s="226"/>
      <c r="K291" s="227" t="str">
        <f>IF(K250="","",K250)</f>
        <v/>
      </c>
      <c r="L291" s="228"/>
      <c r="M291" s="228"/>
      <c r="N291" s="15"/>
      <c r="O291" s="213"/>
      <c r="P291" s="215"/>
      <c r="Q291" s="168"/>
      <c r="R291" s="25"/>
    </row>
    <row r="292" spans="2:18">
      <c r="B292" s="21"/>
      <c r="C292" s="62">
        <f t="shared" ref="C292:D292" si="96">IF(C251="","",C251)</f>
        <v>150</v>
      </c>
      <c r="D292" s="169" t="str">
        <f t="shared" si="96"/>
        <v>13º SALARIO ADIANTADO</v>
      </c>
      <c r="E292" s="169"/>
      <c r="F292" s="169"/>
      <c r="G292" s="72">
        <f t="shared" ref="G292:H292" si="97">IF(G251="","",G251)</f>
        <v>357.75</v>
      </c>
      <c r="H292" s="170" t="str">
        <f t="shared" si="97"/>
        <v/>
      </c>
      <c r="I292" s="171"/>
      <c r="J292" s="171"/>
      <c r="K292" s="172">
        <f>IF(K251="","",K251)</f>
        <v>357.75</v>
      </c>
      <c r="L292" s="173"/>
      <c r="M292" s="173"/>
      <c r="N292" s="15"/>
      <c r="O292" s="213"/>
      <c r="P292" s="215"/>
      <c r="Q292" s="168"/>
      <c r="R292" s="25"/>
    </row>
    <row r="293" spans="2:18">
      <c r="B293" s="21"/>
      <c r="C293" s="62">
        <f t="shared" ref="C293:D293" si="98">IF(C252="","",C252)</f>
        <v>973</v>
      </c>
      <c r="D293" s="169" t="str">
        <f t="shared" si="98"/>
        <v>INSS</v>
      </c>
      <c r="E293" s="169"/>
      <c r="F293" s="169"/>
      <c r="G293" s="95">
        <f t="shared" ref="G293:G294" si="99">IF(G252="","",G252)</f>
        <v>0.08</v>
      </c>
      <c r="H293" s="170" t="str">
        <f>IF(H252="","",H252)</f>
        <v/>
      </c>
      <c r="I293" s="171"/>
      <c r="J293" s="171"/>
      <c r="K293" s="172">
        <f>IF(K252="","",K252)</f>
        <v>57.24</v>
      </c>
      <c r="L293" s="173"/>
      <c r="M293" s="173"/>
      <c r="N293" s="15"/>
      <c r="O293" s="213"/>
      <c r="P293" s="215"/>
      <c r="Q293" s="168"/>
      <c r="R293" s="25"/>
    </row>
    <row r="294" spans="2:18">
      <c r="B294" s="21"/>
      <c r="C294" s="62" t="str">
        <f t="shared" ref="C294:D294" si="100">IF(C253="","",C253)</f>
        <v/>
      </c>
      <c r="D294" s="169" t="str">
        <f t="shared" si="100"/>
        <v/>
      </c>
      <c r="E294" s="169"/>
      <c r="F294" s="169"/>
      <c r="G294" s="95" t="str">
        <f t="shared" si="99"/>
        <v/>
      </c>
      <c r="H294" s="170" t="str">
        <f>IF(H253="","",H253)</f>
        <v/>
      </c>
      <c r="I294" s="171"/>
      <c r="J294" s="171"/>
      <c r="K294" s="172" t="str">
        <f>IF(K253="","",K253)</f>
        <v/>
      </c>
      <c r="L294" s="173"/>
      <c r="M294" s="173"/>
      <c r="N294" s="15"/>
      <c r="O294" s="213"/>
      <c r="P294" s="215"/>
      <c r="Q294" s="168"/>
      <c r="R294" s="25"/>
    </row>
    <row r="295" spans="2:18">
      <c r="B295" s="21"/>
      <c r="C295" s="62" t="str">
        <f t="shared" ref="C295:D295" si="101">IF(C254="","",C254)</f>
        <v/>
      </c>
      <c r="D295" s="169" t="str">
        <f t="shared" si="101"/>
        <v/>
      </c>
      <c r="E295" s="169"/>
      <c r="F295" s="169"/>
      <c r="G295" s="72" t="str">
        <f t="shared" ref="G295:H295" si="102">IF(G254="","",G254)</f>
        <v/>
      </c>
      <c r="H295" s="170" t="str">
        <f t="shared" si="102"/>
        <v/>
      </c>
      <c r="I295" s="171"/>
      <c r="J295" s="171"/>
      <c r="K295" s="172" t="str">
        <f t="shared" ref="K295:K308" si="103">IF(K254="","",K254)</f>
        <v/>
      </c>
      <c r="L295" s="173"/>
      <c r="M295" s="173"/>
      <c r="N295" s="15"/>
      <c r="O295" s="213"/>
      <c r="P295" s="215"/>
      <c r="Q295" s="168"/>
      <c r="R295" s="25"/>
    </row>
    <row r="296" spans="2:18">
      <c r="B296" s="21"/>
      <c r="C296" s="62" t="str">
        <f t="shared" ref="C296:D296" si="104">IF(C255="","",C255)</f>
        <v/>
      </c>
      <c r="D296" s="169" t="str">
        <f t="shared" si="104"/>
        <v/>
      </c>
      <c r="E296" s="169"/>
      <c r="F296" s="169"/>
      <c r="G296" s="72" t="str">
        <f t="shared" ref="G296:H296" si="105">IF(G255="","",G255)</f>
        <v/>
      </c>
      <c r="H296" s="170" t="str">
        <f t="shared" si="105"/>
        <v/>
      </c>
      <c r="I296" s="171"/>
      <c r="J296" s="171"/>
      <c r="K296" s="172" t="str">
        <f t="shared" si="103"/>
        <v/>
      </c>
      <c r="L296" s="173"/>
      <c r="M296" s="173"/>
      <c r="N296" s="15"/>
      <c r="O296" s="213"/>
      <c r="P296" s="215"/>
      <c r="Q296" s="168"/>
      <c r="R296" s="25"/>
    </row>
    <row r="297" spans="2:18">
      <c r="B297" s="21"/>
      <c r="C297" s="62" t="str">
        <f t="shared" ref="C297:D297" si="106">IF(C256="","",C256)</f>
        <v/>
      </c>
      <c r="D297" s="169" t="str">
        <f t="shared" si="106"/>
        <v/>
      </c>
      <c r="E297" s="169"/>
      <c r="F297" s="169"/>
      <c r="G297" s="72" t="str">
        <f t="shared" ref="G297:H297" si="107">IF(G256="","",G256)</f>
        <v/>
      </c>
      <c r="H297" s="170" t="str">
        <f t="shared" si="107"/>
        <v/>
      </c>
      <c r="I297" s="171"/>
      <c r="J297" s="171"/>
      <c r="K297" s="172" t="str">
        <f t="shared" si="103"/>
        <v/>
      </c>
      <c r="L297" s="173"/>
      <c r="M297" s="173"/>
      <c r="N297" s="15"/>
      <c r="O297" s="213"/>
      <c r="P297" s="215"/>
      <c r="Q297" s="168"/>
      <c r="R297" s="25"/>
    </row>
    <row r="298" spans="2:18">
      <c r="B298" s="21"/>
      <c r="C298" s="62" t="str">
        <f t="shared" ref="C298:D298" si="108">IF(C257="","",C257)</f>
        <v/>
      </c>
      <c r="D298" s="169" t="str">
        <f t="shared" si="108"/>
        <v/>
      </c>
      <c r="E298" s="169"/>
      <c r="F298" s="169"/>
      <c r="G298" s="72" t="str">
        <f t="shared" ref="G298:H298" si="109">IF(G257="","",G257)</f>
        <v/>
      </c>
      <c r="H298" s="170" t="str">
        <f t="shared" si="109"/>
        <v/>
      </c>
      <c r="I298" s="171"/>
      <c r="J298" s="171"/>
      <c r="K298" s="172" t="str">
        <f t="shared" si="103"/>
        <v/>
      </c>
      <c r="L298" s="173"/>
      <c r="M298" s="173"/>
      <c r="N298" s="15"/>
      <c r="O298" s="213"/>
      <c r="P298" s="215"/>
      <c r="Q298" s="168"/>
      <c r="R298" s="25"/>
    </row>
    <row r="299" spans="2:18">
      <c r="B299" s="21"/>
      <c r="C299" s="62" t="str">
        <f t="shared" ref="C299:D299" si="110">IF(C258="","",C258)</f>
        <v/>
      </c>
      <c r="D299" s="169" t="str">
        <f t="shared" si="110"/>
        <v/>
      </c>
      <c r="E299" s="169"/>
      <c r="F299" s="169"/>
      <c r="G299" s="72" t="str">
        <f t="shared" ref="G299:H299" si="111">IF(G258="","",G258)</f>
        <v/>
      </c>
      <c r="H299" s="170" t="str">
        <f t="shared" si="111"/>
        <v/>
      </c>
      <c r="I299" s="171"/>
      <c r="J299" s="171"/>
      <c r="K299" s="172" t="str">
        <f t="shared" si="103"/>
        <v/>
      </c>
      <c r="L299" s="173"/>
      <c r="M299" s="173"/>
      <c r="N299" s="15"/>
      <c r="O299" s="213"/>
      <c r="P299" s="215"/>
      <c r="Q299" s="168"/>
      <c r="R299" s="25"/>
    </row>
    <row r="300" spans="2:18">
      <c r="B300" s="21"/>
      <c r="C300" s="62" t="str">
        <f t="shared" ref="C300:D300" si="112">IF(C259="","",C259)</f>
        <v/>
      </c>
      <c r="D300" s="169" t="str">
        <f t="shared" si="112"/>
        <v/>
      </c>
      <c r="E300" s="169"/>
      <c r="F300" s="169"/>
      <c r="G300" s="72" t="str">
        <f t="shared" ref="G300:H300" si="113">IF(G259="","",G259)</f>
        <v/>
      </c>
      <c r="H300" s="170" t="str">
        <f t="shared" si="113"/>
        <v/>
      </c>
      <c r="I300" s="171"/>
      <c r="J300" s="171"/>
      <c r="K300" s="172" t="str">
        <f t="shared" si="103"/>
        <v/>
      </c>
      <c r="L300" s="173"/>
      <c r="M300" s="173"/>
      <c r="N300" s="15"/>
      <c r="O300" s="213"/>
      <c r="P300" s="215"/>
      <c r="Q300" s="168"/>
      <c r="R300" s="25"/>
    </row>
    <row r="301" spans="2:18">
      <c r="B301" s="21"/>
      <c r="C301" s="62" t="str">
        <f t="shared" ref="C301:D301" si="114">IF(C260="","",C260)</f>
        <v/>
      </c>
      <c r="D301" s="169" t="str">
        <f t="shared" si="114"/>
        <v/>
      </c>
      <c r="E301" s="169"/>
      <c r="F301" s="169"/>
      <c r="G301" s="72" t="str">
        <f t="shared" ref="G301:H301" si="115">IF(G260="","",G260)</f>
        <v/>
      </c>
      <c r="H301" s="170" t="str">
        <f t="shared" si="115"/>
        <v/>
      </c>
      <c r="I301" s="171"/>
      <c r="J301" s="171"/>
      <c r="K301" s="172" t="str">
        <f t="shared" si="103"/>
        <v/>
      </c>
      <c r="L301" s="173"/>
      <c r="M301" s="173"/>
      <c r="N301" s="15"/>
      <c r="O301" s="213"/>
      <c r="P301" s="215"/>
      <c r="Q301" s="168"/>
      <c r="R301" s="25"/>
    </row>
    <row r="302" spans="2:18">
      <c r="B302" s="21"/>
      <c r="C302" s="62" t="str">
        <f t="shared" ref="C302:D302" si="116">IF(C261="","",C261)</f>
        <v/>
      </c>
      <c r="D302" s="169" t="str">
        <f t="shared" si="116"/>
        <v/>
      </c>
      <c r="E302" s="169"/>
      <c r="F302" s="169"/>
      <c r="G302" s="72" t="str">
        <f t="shared" ref="G302:H302" si="117">IF(G261="","",G261)</f>
        <v/>
      </c>
      <c r="H302" s="170" t="str">
        <f t="shared" si="117"/>
        <v/>
      </c>
      <c r="I302" s="171"/>
      <c r="J302" s="171"/>
      <c r="K302" s="172" t="str">
        <f t="shared" si="103"/>
        <v/>
      </c>
      <c r="L302" s="173"/>
      <c r="M302" s="173"/>
      <c r="N302" s="15"/>
      <c r="O302" s="213"/>
      <c r="P302" s="67"/>
      <c r="Q302" s="68"/>
      <c r="R302" s="25"/>
    </row>
    <row r="303" spans="2:18">
      <c r="B303" s="21"/>
      <c r="C303" s="62" t="str">
        <f t="shared" ref="C303:D303" si="118">IF(C262="","",C262)</f>
        <v/>
      </c>
      <c r="D303" s="169" t="str">
        <f t="shared" si="118"/>
        <v/>
      </c>
      <c r="E303" s="169"/>
      <c r="F303" s="169"/>
      <c r="G303" s="72" t="str">
        <f t="shared" ref="G303:H303" si="119">IF(G262="","",G262)</f>
        <v/>
      </c>
      <c r="H303" s="170" t="str">
        <f t="shared" si="119"/>
        <v/>
      </c>
      <c r="I303" s="171"/>
      <c r="J303" s="171"/>
      <c r="K303" s="172" t="str">
        <f t="shared" si="103"/>
        <v/>
      </c>
      <c r="L303" s="173"/>
      <c r="M303" s="173"/>
      <c r="N303" s="15"/>
      <c r="O303" s="213"/>
      <c r="P303" s="67"/>
      <c r="Q303" s="68"/>
      <c r="R303" s="25"/>
    </row>
    <row r="304" spans="2:18">
      <c r="B304" s="21"/>
      <c r="C304" s="62" t="str">
        <f t="shared" ref="C304:D304" si="120">IF(C263="","",C263)</f>
        <v/>
      </c>
      <c r="D304" s="169" t="str">
        <f t="shared" si="120"/>
        <v/>
      </c>
      <c r="E304" s="169"/>
      <c r="F304" s="169"/>
      <c r="G304" s="72" t="str">
        <f t="shared" ref="G304:H304" si="121">IF(G263="","",G263)</f>
        <v/>
      </c>
      <c r="H304" s="170" t="str">
        <f t="shared" si="121"/>
        <v/>
      </c>
      <c r="I304" s="171"/>
      <c r="J304" s="171"/>
      <c r="K304" s="172" t="str">
        <f t="shared" si="103"/>
        <v/>
      </c>
      <c r="L304" s="173"/>
      <c r="M304" s="173"/>
      <c r="N304" s="15"/>
      <c r="O304" s="213"/>
      <c r="P304" s="167" t="s">
        <v>33</v>
      </c>
      <c r="Q304" s="168" t="s">
        <v>30</v>
      </c>
      <c r="R304" s="25"/>
    </row>
    <row r="305" spans="2:18">
      <c r="B305" s="21"/>
      <c r="C305" s="62" t="str">
        <f t="shared" ref="C305:D305" si="122">IF(C264="","",C264)</f>
        <v/>
      </c>
      <c r="D305" s="169" t="str">
        <f t="shared" si="122"/>
        <v/>
      </c>
      <c r="E305" s="169"/>
      <c r="F305" s="169"/>
      <c r="G305" s="72" t="str">
        <f t="shared" ref="G305:H305" si="123">IF(G264="","",G264)</f>
        <v/>
      </c>
      <c r="H305" s="170" t="str">
        <f t="shared" si="123"/>
        <v/>
      </c>
      <c r="I305" s="171"/>
      <c r="J305" s="171"/>
      <c r="K305" s="172" t="str">
        <f t="shared" si="103"/>
        <v/>
      </c>
      <c r="L305" s="173"/>
      <c r="M305" s="173"/>
      <c r="N305" s="15"/>
      <c r="O305" s="213"/>
      <c r="P305" s="167"/>
      <c r="Q305" s="168"/>
      <c r="R305" s="25"/>
    </row>
    <row r="306" spans="2:18">
      <c r="B306" s="21"/>
      <c r="C306" s="62" t="str">
        <f t="shared" ref="C306:D306" si="124">IF(C265="","",C265)</f>
        <v/>
      </c>
      <c r="D306" s="169" t="str">
        <f t="shared" si="124"/>
        <v/>
      </c>
      <c r="E306" s="169"/>
      <c r="F306" s="169"/>
      <c r="G306" s="72" t="str">
        <f t="shared" ref="G306:H306" si="125">IF(G265="","",G265)</f>
        <v/>
      </c>
      <c r="H306" s="170" t="str">
        <f t="shared" si="125"/>
        <v/>
      </c>
      <c r="I306" s="171"/>
      <c r="J306" s="171"/>
      <c r="K306" s="172" t="str">
        <f t="shared" si="103"/>
        <v/>
      </c>
      <c r="L306" s="173"/>
      <c r="M306" s="173"/>
      <c r="N306" s="15"/>
      <c r="O306" s="213"/>
      <c r="P306" s="167"/>
      <c r="Q306" s="168"/>
      <c r="R306" s="25"/>
    </row>
    <row r="307" spans="2:18">
      <c r="B307" s="21"/>
      <c r="C307" s="62" t="str">
        <f t="shared" ref="C307:D307" si="126">IF(C266="","",C266)</f>
        <v/>
      </c>
      <c r="D307" s="169" t="str">
        <f t="shared" si="126"/>
        <v/>
      </c>
      <c r="E307" s="169"/>
      <c r="F307" s="169"/>
      <c r="G307" s="72" t="str">
        <f t="shared" ref="G307:H307" si="127">IF(G266="","",G266)</f>
        <v/>
      </c>
      <c r="H307" s="170" t="str">
        <f t="shared" si="127"/>
        <v/>
      </c>
      <c r="I307" s="171"/>
      <c r="J307" s="171"/>
      <c r="K307" s="172" t="str">
        <f t="shared" si="103"/>
        <v/>
      </c>
      <c r="L307" s="173"/>
      <c r="M307" s="173"/>
      <c r="N307" s="15"/>
      <c r="O307" s="213"/>
      <c r="P307" s="167"/>
      <c r="Q307" s="168"/>
      <c r="R307" s="25"/>
    </row>
    <row r="308" spans="2:18">
      <c r="B308" s="21"/>
      <c r="C308" s="63" t="str">
        <f>IF(C267="","",C267)</f>
        <v/>
      </c>
      <c r="D308" s="174" t="str">
        <f>IF(D267="","",D267)</f>
        <v/>
      </c>
      <c r="E308" s="174"/>
      <c r="F308" s="174"/>
      <c r="G308" s="107" t="str">
        <f>IF(G267="","",G267)</f>
        <v/>
      </c>
      <c r="H308" s="175" t="str">
        <f>IF(H267="","",H267)</f>
        <v/>
      </c>
      <c r="I308" s="176"/>
      <c r="J308" s="176"/>
      <c r="K308" s="177" t="str">
        <f t="shared" si="103"/>
        <v/>
      </c>
      <c r="L308" s="178"/>
      <c r="M308" s="178"/>
      <c r="N308" s="15"/>
      <c r="O308" s="213"/>
      <c r="P308" s="167"/>
      <c r="Q308" s="168"/>
      <c r="R308" s="25"/>
    </row>
    <row r="309" spans="2:18">
      <c r="B309" s="21"/>
      <c r="C309" s="37"/>
      <c r="D309" s="135"/>
      <c r="E309" s="135"/>
      <c r="F309" s="135"/>
      <c r="G309" s="37"/>
      <c r="H309" s="119"/>
      <c r="I309" s="119"/>
      <c r="J309" s="119"/>
      <c r="K309" s="119"/>
      <c r="L309" s="119"/>
      <c r="M309" s="119"/>
      <c r="N309" s="15"/>
      <c r="O309" s="213"/>
      <c r="P309" s="167"/>
      <c r="Q309" s="168"/>
      <c r="R309" s="25"/>
    </row>
    <row r="310" spans="2:18">
      <c r="B310" s="21"/>
      <c r="C310" s="179"/>
      <c r="D310" s="180"/>
      <c r="E310" s="180"/>
      <c r="F310" s="180"/>
      <c r="G310" s="181"/>
      <c r="H310" s="188" t="s">
        <v>24</v>
      </c>
      <c r="I310" s="189"/>
      <c r="J310" s="190"/>
      <c r="K310" s="191" t="s">
        <v>4</v>
      </c>
      <c r="L310" s="192"/>
      <c r="M310" s="193"/>
      <c r="N310" s="15"/>
      <c r="O310" s="213"/>
      <c r="P310" s="167"/>
      <c r="Q310" s="168"/>
      <c r="R310" s="25"/>
    </row>
    <row r="311" spans="2:18">
      <c r="B311" s="21"/>
      <c r="C311" s="182"/>
      <c r="D311" s="183"/>
      <c r="E311" s="183"/>
      <c r="F311" s="183"/>
      <c r="G311" s="184"/>
      <c r="H311" s="194">
        <f>IF(H270="","",H270)</f>
        <v>715.5</v>
      </c>
      <c r="I311" s="195"/>
      <c r="J311" s="196"/>
      <c r="K311" s="197">
        <f>IF(K270="","",K270)</f>
        <v>414.99</v>
      </c>
      <c r="L311" s="198"/>
      <c r="M311" s="199"/>
      <c r="N311" s="15"/>
      <c r="O311" s="213"/>
      <c r="P311" s="167"/>
      <c r="Q311" s="168"/>
      <c r="R311" s="25"/>
    </row>
    <row r="312" spans="2:18">
      <c r="B312" s="21"/>
      <c r="C312" s="182"/>
      <c r="D312" s="183"/>
      <c r="E312" s="183"/>
      <c r="F312" s="183"/>
      <c r="G312" s="184"/>
      <c r="H312" s="141"/>
      <c r="I312" s="141"/>
      <c r="J312" s="141"/>
      <c r="K312" s="141"/>
      <c r="L312" s="141"/>
      <c r="M312" s="141"/>
      <c r="N312" s="15"/>
      <c r="O312" s="213"/>
      <c r="P312" s="167"/>
      <c r="Q312" s="168"/>
      <c r="R312" s="25"/>
    </row>
    <row r="313" spans="2:18">
      <c r="B313" s="21"/>
      <c r="C313" s="182"/>
      <c r="D313" s="183"/>
      <c r="E313" s="183"/>
      <c r="F313" s="183"/>
      <c r="G313" s="184"/>
      <c r="H313" s="200" t="s">
        <v>25</v>
      </c>
      <c r="I313" s="201"/>
      <c r="J313" s="201"/>
      <c r="K313" s="152">
        <f>IF(K272="","",K272)</f>
        <v>300.51</v>
      </c>
      <c r="L313" s="153"/>
      <c r="M313" s="154"/>
      <c r="N313" s="15"/>
      <c r="O313" s="213"/>
      <c r="P313" s="167"/>
      <c r="Q313" s="168"/>
      <c r="R313" s="25"/>
    </row>
    <row r="314" spans="2:18">
      <c r="B314" s="21"/>
      <c r="C314" s="185"/>
      <c r="D314" s="186"/>
      <c r="E314" s="186"/>
      <c r="F314" s="186"/>
      <c r="G314" s="187"/>
      <c r="H314" s="202"/>
      <c r="I314" s="203"/>
      <c r="J314" s="203"/>
      <c r="K314" s="155"/>
      <c r="L314" s="156"/>
      <c r="M314" s="157"/>
      <c r="N314" s="15"/>
      <c r="O314" s="213"/>
      <c r="P314" s="167"/>
      <c r="Q314" s="168"/>
      <c r="R314" s="25"/>
    </row>
    <row r="315" spans="2:18">
      <c r="B315" s="21"/>
      <c r="C315" s="104"/>
      <c r="D315" s="104"/>
      <c r="E315" s="104"/>
      <c r="F315" s="104"/>
      <c r="G315" s="104"/>
      <c r="H315" s="39"/>
      <c r="I315" s="39"/>
      <c r="J315" s="39"/>
      <c r="K315" s="40"/>
      <c r="L315" s="40"/>
      <c r="M315" s="40"/>
      <c r="N315" s="15"/>
      <c r="O315" s="213"/>
      <c r="P315" s="167"/>
      <c r="Q315" s="168"/>
      <c r="R315" s="25"/>
    </row>
    <row r="316" spans="2:18">
      <c r="B316" s="23"/>
      <c r="C316" s="158" t="s">
        <v>18</v>
      </c>
      <c r="D316" s="159"/>
      <c r="E316" s="51" t="s">
        <v>19</v>
      </c>
      <c r="F316" s="100" t="s">
        <v>20</v>
      </c>
      <c r="G316" s="159" t="s">
        <v>21</v>
      </c>
      <c r="H316" s="159"/>
      <c r="I316" s="160" t="s">
        <v>27</v>
      </c>
      <c r="J316" s="160"/>
      <c r="K316" s="160"/>
      <c r="L316" s="160" t="s">
        <v>26</v>
      </c>
      <c r="M316" s="161"/>
      <c r="N316" s="17"/>
      <c r="O316" s="213"/>
      <c r="P316" s="167"/>
      <c r="Q316" s="168"/>
      <c r="R316" s="27"/>
    </row>
    <row r="317" spans="2:18">
      <c r="B317" s="21"/>
      <c r="C317" s="162">
        <f>IF(C276="","",C276)</f>
        <v>715.5</v>
      </c>
      <c r="D317" s="163"/>
      <c r="E317" s="73">
        <f>IF(E276="","",E276)</f>
        <v>715.5</v>
      </c>
      <c r="F317" s="103">
        <f>IF(F276="","",F276)</f>
        <v>715.5</v>
      </c>
      <c r="G317" s="163">
        <f>IF(G276="","",G276)</f>
        <v>57.24</v>
      </c>
      <c r="H317" s="163"/>
      <c r="I317" s="164">
        <f>IF(I276="","",I276)</f>
        <v>658.26</v>
      </c>
      <c r="J317" s="164"/>
      <c r="K317" s="164"/>
      <c r="L317" s="165" t="str">
        <f>IF(L276="","",L276)</f>
        <v>-</v>
      </c>
      <c r="M317" s="166"/>
      <c r="N317" s="15"/>
      <c r="O317" s="214"/>
      <c r="P317" s="69"/>
      <c r="Q317" s="70"/>
      <c r="R317" s="25"/>
    </row>
    <row r="318" spans="2:18">
      <c r="B318" s="24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8"/>
    </row>
    <row r="319" spans="2:18">
      <c r="B319" s="24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8"/>
    </row>
  </sheetData>
  <mergeCells count="748">
    <mergeCell ref="C37:D37"/>
    <mergeCell ref="G37:H37"/>
    <mergeCell ref="I37:K37"/>
    <mergeCell ref="L37:M37"/>
    <mergeCell ref="C38:D38"/>
    <mergeCell ref="D14:F14"/>
    <mergeCell ref="H14:J14"/>
    <mergeCell ref="K14:M14"/>
    <mergeCell ref="H30:J30"/>
    <mergeCell ref="K30:M30"/>
    <mergeCell ref="C31:G35"/>
    <mergeCell ref="H31:J31"/>
    <mergeCell ref="K31:M31"/>
    <mergeCell ref="H32:J32"/>
    <mergeCell ref="K32:M32"/>
    <mergeCell ref="H33:M33"/>
    <mergeCell ref="H34:J35"/>
    <mergeCell ref="K34:M35"/>
    <mergeCell ref="G38:H38"/>
    <mergeCell ref="I38:K38"/>
    <mergeCell ref="L38:M38"/>
    <mergeCell ref="K233:M234"/>
    <mergeCell ref="C236:D236"/>
    <mergeCell ref="G236:H236"/>
    <mergeCell ref="I236:K236"/>
    <mergeCell ref="L236:M236"/>
    <mergeCell ref="C237:D237"/>
    <mergeCell ref="G237:H237"/>
    <mergeCell ref="I237:K237"/>
    <mergeCell ref="L237:M237"/>
    <mergeCell ref="P224:P236"/>
    <mergeCell ref="Q224:Q236"/>
    <mergeCell ref="D225:F225"/>
    <mergeCell ref="H225:J225"/>
    <mergeCell ref="K225:M225"/>
    <mergeCell ref="D226:F226"/>
    <mergeCell ref="H226:J226"/>
    <mergeCell ref="K226:M226"/>
    <mergeCell ref="D227:F227"/>
    <mergeCell ref="H227:J227"/>
    <mergeCell ref="K227:M227"/>
    <mergeCell ref="D228:F228"/>
    <mergeCell ref="H228:J228"/>
    <mergeCell ref="K228:M228"/>
    <mergeCell ref="D229:F229"/>
    <mergeCell ref="H229:J229"/>
    <mergeCell ref="K229:M229"/>
    <mergeCell ref="C230:G234"/>
    <mergeCell ref="H230:J230"/>
    <mergeCell ref="K230:M230"/>
    <mergeCell ref="H231:J231"/>
    <mergeCell ref="K231:M231"/>
    <mergeCell ref="H232:M232"/>
    <mergeCell ref="H233:J234"/>
    <mergeCell ref="D222:F222"/>
    <mergeCell ref="H222:J222"/>
    <mergeCell ref="K222:M222"/>
    <mergeCell ref="D223:F223"/>
    <mergeCell ref="H223:J223"/>
    <mergeCell ref="K223:M223"/>
    <mergeCell ref="D224:F224"/>
    <mergeCell ref="H224:J224"/>
    <mergeCell ref="K224:M224"/>
    <mergeCell ref="D219:F219"/>
    <mergeCell ref="H219:J219"/>
    <mergeCell ref="K219:M219"/>
    <mergeCell ref="D220:F220"/>
    <mergeCell ref="H220:J220"/>
    <mergeCell ref="K220:M220"/>
    <mergeCell ref="D221:F221"/>
    <mergeCell ref="H221:J221"/>
    <mergeCell ref="K221:M221"/>
    <mergeCell ref="D216:F216"/>
    <mergeCell ref="H216:J216"/>
    <mergeCell ref="K216:M216"/>
    <mergeCell ref="D217:F217"/>
    <mergeCell ref="H217:J217"/>
    <mergeCell ref="K217:M217"/>
    <mergeCell ref="D218:F218"/>
    <mergeCell ref="H218:J218"/>
    <mergeCell ref="K218:M218"/>
    <mergeCell ref="K212:M212"/>
    <mergeCell ref="D213:F213"/>
    <mergeCell ref="H213:J213"/>
    <mergeCell ref="K213:M213"/>
    <mergeCell ref="D214:F214"/>
    <mergeCell ref="H214:J214"/>
    <mergeCell ref="K214:M214"/>
    <mergeCell ref="D215:F215"/>
    <mergeCell ref="H215:J215"/>
    <mergeCell ref="K215:M215"/>
    <mergeCell ref="B199:R199"/>
    <mergeCell ref="C202:F203"/>
    <mergeCell ref="G202:M203"/>
    <mergeCell ref="O202:O237"/>
    <mergeCell ref="P203:P221"/>
    <mergeCell ref="C204:F204"/>
    <mergeCell ref="G204:M204"/>
    <mergeCell ref="Q204:Q221"/>
    <mergeCell ref="C205:M205"/>
    <mergeCell ref="D206:F206"/>
    <mergeCell ref="D207:F207"/>
    <mergeCell ref="G207:M207"/>
    <mergeCell ref="C208:M208"/>
    <mergeCell ref="D209:F209"/>
    <mergeCell ref="H209:J209"/>
    <mergeCell ref="K209:M209"/>
    <mergeCell ref="D210:F210"/>
    <mergeCell ref="H210:J210"/>
    <mergeCell ref="K210:M210"/>
    <mergeCell ref="D211:F211"/>
    <mergeCell ref="H211:J211"/>
    <mergeCell ref="K211:M211"/>
    <mergeCell ref="D212:F212"/>
    <mergeCell ref="H212:J212"/>
    <mergeCell ref="K192:M193"/>
    <mergeCell ref="C195:D195"/>
    <mergeCell ref="G195:H195"/>
    <mergeCell ref="I195:K195"/>
    <mergeCell ref="L195:M195"/>
    <mergeCell ref="C196:D196"/>
    <mergeCell ref="G196:H196"/>
    <mergeCell ref="I196:K196"/>
    <mergeCell ref="L196:M196"/>
    <mergeCell ref="P183:P195"/>
    <mergeCell ref="Q183:Q195"/>
    <mergeCell ref="D184:F184"/>
    <mergeCell ref="H184:J184"/>
    <mergeCell ref="K184:M184"/>
    <mergeCell ref="D185:F185"/>
    <mergeCell ref="H185:J185"/>
    <mergeCell ref="K185:M185"/>
    <mergeCell ref="D186:F186"/>
    <mergeCell ref="H186:J186"/>
    <mergeCell ref="K186:M186"/>
    <mergeCell ref="D187:F187"/>
    <mergeCell ref="H187:J187"/>
    <mergeCell ref="K187:M187"/>
    <mergeCell ref="D188:F188"/>
    <mergeCell ref="H188:J188"/>
    <mergeCell ref="K188:M188"/>
    <mergeCell ref="C189:G193"/>
    <mergeCell ref="H189:J189"/>
    <mergeCell ref="K189:M189"/>
    <mergeCell ref="H190:J190"/>
    <mergeCell ref="K190:M190"/>
    <mergeCell ref="H191:M191"/>
    <mergeCell ref="H192:J193"/>
    <mergeCell ref="D181:F181"/>
    <mergeCell ref="H181:J181"/>
    <mergeCell ref="K181:M181"/>
    <mergeCell ref="D182:F182"/>
    <mergeCell ref="H182:J182"/>
    <mergeCell ref="K182:M182"/>
    <mergeCell ref="D183:F183"/>
    <mergeCell ref="H183:J183"/>
    <mergeCell ref="K183:M183"/>
    <mergeCell ref="D178:F178"/>
    <mergeCell ref="H178:J178"/>
    <mergeCell ref="K178:M178"/>
    <mergeCell ref="D179:F179"/>
    <mergeCell ref="H179:J179"/>
    <mergeCell ref="K179:M179"/>
    <mergeCell ref="D180:F180"/>
    <mergeCell ref="H180:J180"/>
    <mergeCell ref="K180:M180"/>
    <mergeCell ref="D175:F175"/>
    <mergeCell ref="H175:J175"/>
    <mergeCell ref="K175:M175"/>
    <mergeCell ref="D176:F176"/>
    <mergeCell ref="H176:J176"/>
    <mergeCell ref="K176:M176"/>
    <mergeCell ref="D177:F177"/>
    <mergeCell ref="H177:J177"/>
    <mergeCell ref="K177:M177"/>
    <mergeCell ref="D172:F172"/>
    <mergeCell ref="H172:J172"/>
    <mergeCell ref="K172:M172"/>
    <mergeCell ref="D173:F173"/>
    <mergeCell ref="H173:J173"/>
    <mergeCell ref="K173:M173"/>
    <mergeCell ref="D174:F174"/>
    <mergeCell ref="H174:J174"/>
    <mergeCell ref="K174:M174"/>
    <mergeCell ref="C161:F162"/>
    <mergeCell ref="G161:M162"/>
    <mergeCell ref="O161:O196"/>
    <mergeCell ref="P162:P180"/>
    <mergeCell ref="C163:F163"/>
    <mergeCell ref="G163:M163"/>
    <mergeCell ref="Q163:Q180"/>
    <mergeCell ref="C164:M164"/>
    <mergeCell ref="D165:F165"/>
    <mergeCell ref="D166:F166"/>
    <mergeCell ref="G166:M166"/>
    <mergeCell ref="C167:M167"/>
    <mergeCell ref="D168:F168"/>
    <mergeCell ref="H168:J168"/>
    <mergeCell ref="K168:M168"/>
    <mergeCell ref="D169:F169"/>
    <mergeCell ref="H169:J169"/>
    <mergeCell ref="K169:M169"/>
    <mergeCell ref="D170:F170"/>
    <mergeCell ref="H170:J170"/>
    <mergeCell ref="K170:M170"/>
    <mergeCell ref="D171:F171"/>
    <mergeCell ref="H171:J171"/>
    <mergeCell ref="K171:M171"/>
    <mergeCell ref="K154:M155"/>
    <mergeCell ref="C157:D157"/>
    <mergeCell ref="G157:H157"/>
    <mergeCell ref="I157:K157"/>
    <mergeCell ref="L157:M157"/>
    <mergeCell ref="C158:D158"/>
    <mergeCell ref="G158:H158"/>
    <mergeCell ref="I158:K158"/>
    <mergeCell ref="L158:M158"/>
    <mergeCell ref="P145:P157"/>
    <mergeCell ref="Q145:Q157"/>
    <mergeCell ref="D146:F146"/>
    <mergeCell ref="H146:J146"/>
    <mergeCell ref="K146:M146"/>
    <mergeCell ref="D147:F147"/>
    <mergeCell ref="H147:J147"/>
    <mergeCell ref="K147:M147"/>
    <mergeCell ref="D148:F148"/>
    <mergeCell ref="H148:J148"/>
    <mergeCell ref="K148:M148"/>
    <mergeCell ref="D149:F149"/>
    <mergeCell ref="H149:J149"/>
    <mergeCell ref="K149:M149"/>
    <mergeCell ref="D150:F150"/>
    <mergeCell ref="H150:J150"/>
    <mergeCell ref="K150:M150"/>
    <mergeCell ref="C151:G155"/>
    <mergeCell ref="H151:J151"/>
    <mergeCell ref="K151:M151"/>
    <mergeCell ref="H152:J152"/>
    <mergeCell ref="K152:M152"/>
    <mergeCell ref="H153:M153"/>
    <mergeCell ref="H154:J155"/>
    <mergeCell ref="D143:F143"/>
    <mergeCell ref="H143:J143"/>
    <mergeCell ref="K143:M143"/>
    <mergeCell ref="D144:F144"/>
    <mergeCell ref="H144:J144"/>
    <mergeCell ref="K144:M144"/>
    <mergeCell ref="D145:F145"/>
    <mergeCell ref="H145:J145"/>
    <mergeCell ref="K145:M145"/>
    <mergeCell ref="D140:F140"/>
    <mergeCell ref="H140:J140"/>
    <mergeCell ref="K140:M140"/>
    <mergeCell ref="D141:F141"/>
    <mergeCell ref="H141:J141"/>
    <mergeCell ref="K141:M141"/>
    <mergeCell ref="D142:F142"/>
    <mergeCell ref="H142:J142"/>
    <mergeCell ref="K142:M142"/>
    <mergeCell ref="D137:F137"/>
    <mergeCell ref="H137:J137"/>
    <mergeCell ref="K137:M137"/>
    <mergeCell ref="D138:F138"/>
    <mergeCell ref="H138:J138"/>
    <mergeCell ref="K138:M138"/>
    <mergeCell ref="D139:F139"/>
    <mergeCell ref="H139:J139"/>
    <mergeCell ref="K139:M139"/>
    <mergeCell ref="K133:M133"/>
    <mergeCell ref="D134:F134"/>
    <mergeCell ref="H134:J134"/>
    <mergeCell ref="K134:M134"/>
    <mergeCell ref="D135:F135"/>
    <mergeCell ref="H135:J135"/>
    <mergeCell ref="K135:M135"/>
    <mergeCell ref="D136:F136"/>
    <mergeCell ref="H136:J136"/>
    <mergeCell ref="K136:M136"/>
    <mergeCell ref="B120:R120"/>
    <mergeCell ref="C123:F124"/>
    <mergeCell ref="G123:M124"/>
    <mergeCell ref="O123:O158"/>
    <mergeCell ref="P124:P142"/>
    <mergeCell ref="C125:F125"/>
    <mergeCell ref="G125:M125"/>
    <mergeCell ref="Q125:Q142"/>
    <mergeCell ref="C126:M126"/>
    <mergeCell ref="D127:F127"/>
    <mergeCell ref="D128:F128"/>
    <mergeCell ref="G128:M128"/>
    <mergeCell ref="C129:M129"/>
    <mergeCell ref="D130:F130"/>
    <mergeCell ref="H130:J130"/>
    <mergeCell ref="K130:M130"/>
    <mergeCell ref="D131:F131"/>
    <mergeCell ref="H131:J131"/>
    <mergeCell ref="K131:M131"/>
    <mergeCell ref="D132:F132"/>
    <mergeCell ref="H132:J132"/>
    <mergeCell ref="K132:M132"/>
    <mergeCell ref="D133:F133"/>
    <mergeCell ref="H133:J133"/>
    <mergeCell ref="K113:M114"/>
    <mergeCell ref="C116:D116"/>
    <mergeCell ref="G116:H116"/>
    <mergeCell ref="I116:K116"/>
    <mergeCell ref="L116:M116"/>
    <mergeCell ref="C117:D117"/>
    <mergeCell ref="G117:H117"/>
    <mergeCell ref="I117:K117"/>
    <mergeCell ref="L117:M117"/>
    <mergeCell ref="P104:P116"/>
    <mergeCell ref="Q104:Q116"/>
    <mergeCell ref="D105:F105"/>
    <mergeCell ref="H105:J105"/>
    <mergeCell ref="K105:M105"/>
    <mergeCell ref="D106:F106"/>
    <mergeCell ref="H106:J106"/>
    <mergeCell ref="K106:M106"/>
    <mergeCell ref="D107:F107"/>
    <mergeCell ref="H107:J107"/>
    <mergeCell ref="K107:M107"/>
    <mergeCell ref="D108:F108"/>
    <mergeCell ref="H108:J108"/>
    <mergeCell ref="K108:M108"/>
    <mergeCell ref="D109:F109"/>
    <mergeCell ref="H109:J109"/>
    <mergeCell ref="K109:M109"/>
    <mergeCell ref="C110:G114"/>
    <mergeCell ref="H110:J110"/>
    <mergeCell ref="K110:M110"/>
    <mergeCell ref="H111:J111"/>
    <mergeCell ref="K111:M111"/>
    <mergeCell ref="H112:M112"/>
    <mergeCell ref="H113:J114"/>
    <mergeCell ref="D102:F102"/>
    <mergeCell ref="H102:J102"/>
    <mergeCell ref="K102:M102"/>
    <mergeCell ref="D103:F103"/>
    <mergeCell ref="H103:J103"/>
    <mergeCell ref="K103:M103"/>
    <mergeCell ref="D104:F104"/>
    <mergeCell ref="H104:J104"/>
    <mergeCell ref="K104:M104"/>
    <mergeCell ref="D99:F99"/>
    <mergeCell ref="H99:J99"/>
    <mergeCell ref="K99:M99"/>
    <mergeCell ref="D100:F100"/>
    <mergeCell ref="H100:J100"/>
    <mergeCell ref="K100:M100"/>
    <mergeCell ref="D101:F101"/>
    <mergeCell ref="H101:J101"/>
    <mergeCell ref="K101:M101"/>
    <mergeCell ref="D96:F96"/>
    <mergeCell ref="H96:J96"/>
    <mergeCell ref="K96:M96"/>
    <mergeCell ref="D97:F97"/>
    <mergeCell ref="H97:J97"/>
    <mergeCell ref="K97:M97"/>
    <mergeCell ref="D98:F98"/>
    <mergeCell ref="H98:J98"/>
    <mergeCell ref="K98:M98"/>
    <mergeCell ref="D93:F93"/>
    <mergeCell ref="H93:J93"/>
    <mergeCell ref="K93:M93"/>
    <mergeCell ref="D94:F94"/>
    <mergeCell ref="H94:J94"/>
    <mergeCell ref="K94:M94"/>
    <mergeCell ref="D95:F95"/>
    <mergeCell ref="H95:J95"/>
    <mergeCell ref="K95:M95"/>
    <mergeCell ref="C82:F83"/>
    <mergeCell ref="G82:M83"/>
    <mergeCell ref="O82:O117"/>
    <mergeCell ref="P83:P101"/>
    <mergeCell ref="C84:F84"/>
    <mergeCell ref="G84:M84"/>
    <mergeCell ref="Q84:Q101"/>
    <mergeCell ref="C85:M85"/>
    <mergeCell ref="D86:F86"/>
    <mergeCell ref="D87:F87"/>
    <mergeCell ref="G87:M87"/>
    <mergeCell ref="C88:M88"/>
    <mergeCell ref="D89:F89"/>
    <mergeCell ref="H89:J89"/>
    <mergeCell ref="K89:M89"/>
    <mergeCell ref="D90:F90"/>
    <mergeCell ref="H90:J90"/>
    <mergeCell ref="K90:M90"/>
    <mergeCell ref="D91:F91"/>
    <mergeCell ref="H91:J91"/>
    <mergeCell ref="K91:M91"/>
    <mergeCell ref="D92:F92"/>
    <mergeCell ref="H92:J92"/>
    <mergeCell ref="K92:M92"/>
    <mergeCell ref="C3:F4"/>
    <mergeCell ref="G3:M4"/>
    <mergeCell ref="O3:O38"/>
    <mergeCell ref="P4:P22"/>
    <mergeCell ref="C5:F5"/>
    <mergeCell ref="G5:M5"/>
    <mergeCell ref="H11:J11"/>
    <mergeCell ref="K11:M11"/>
    <mergeCell ref="D12:F12"/>
    <mergeCell ref="H12:J12"/>
    <mergeCell ref="K12:M12"/>
    <mergeCell ref="D15:F15"/>
    <mergeCell ref="H15:J15"/>
    <mergeCell ref="K15:M15"/>
    <mergeCell ref="D13:F13"/>
    <mergeCell ref="H13:J13"/>
    <mergeCell ref="K13:M13"/>
    <mergeCell ref="K22:M22"/>
    <mergeCell ref="D19:F19"/>
    <mergeCell ref="H19:J19"/>
    <mergeCell ref="K19:M19"/>
    <mergeCell ref="D20:F20"/>
    <mergeCell ref="H20:J20"/>
    <mergeCell ref="K20:M20"/>
    <mergeCell ref="Q5:Q22"/>
    <mergeCell ref="C6:M6"/>
    <mergeCell ref="D7:F7"/>
    <mergeCell ref="D8:F8"/>
    <mergeCell ref="G8:M8"/>
    <mergeCell ref="C9:M9"/>
    <mergeCell ref="D10:F10"/>
    <mergeCell ref="H10:J10"/>
    <mergeCell ref="K10:M10"/>
    <mergeCell ref="D11:F11"/>
    <mergeCell ref="D17:F17"/>
    <mergeCell ref="H17:J17"/>
    <mergeCell ref="K17:M17"/>
    <mergeCell ref="D18:F18"/>
    <mergeCell ref="H18:J18"/>
    <mergeCell ref="K18:M18"/>
    <mergeCell ref="D16:F16"/>
    <mergeCell ref="H16:J16"/>
    <mergeCell ref="K16:M16"/>
    <mergeCell ref="D21:F21"/>
    <mergeCell ref="H21:J21"/>
    <mergeCell ref="K21:M21"/>
    <mergeCell ref="D22:F22"/>
    <mergeCell ref="H22:J22"/>
    <mergeCell ref="P25:P37"/>
    <mergeCell ref="Q25:Q37"/>
    <mergeCell ref="D26:F26"/>
    <mergeCell ref="H26:J26"/>
    <mergeCell ref="K26:M26"/>
    <mergeCell ref="D27:F27"/>
    <mergeCell ref="H27:J27"/>
    <mergeCell ref="D23:F23"/>
    <mergeCell ref="H23:J23"/>
    <mergeCell ref="K23:M23"/>
    <mergeCell ref="D24:F24"/>
    <mergeCell ref="H24:J24"/>
    <mergeCell ref="K24:M24"/>
    <mergeCell ref="K27:M27"/>
    <mergeCell ref="D28:F28"/>
    <mergeCell ref="H28:J28"/>
    <mergeCell ref="K28:M28"/>
    <mergeCell ref="D29:F29"/>
    <mergeCell ref="H29:J29"/>
    <mergeCell ref="K29:M29"/>
    <mergeCell ref="D25:F25"/>
    <mergeCell ref="H25:J25"/>
    <mergeCell ref="K25:M25"/>
    <mergeCell ref="D30:F30"/>
    <mergeCell ref="D49:F49"/>
    <mergeCell ref="G49:M49"/>
    <mergeCell ref="C50:M50"/>
    <mergeCell ref="D51:F51"/>
    <mergeCell ref="H51:J51"/>
    <mergeCell ref="K51:M51"/>
    <mergeCell ref="B41:R41"/>
    <mergeCell ref="C44:F45"/>
    <mergeCell ref="G44:M45"/>
    <mergeCell ref="O44:O79"/>
    <mergeCell ref="P45:P63"/>
    <mergeCell ref="C46:F46"/>
    <mergeCell ref="G46:M46"/>
    <mergeCell ref="Q46:Q63"/>
    <mergeCell ref="C47:M47"/>
    <mergeCell ref="D48:F48"/>
    <mergeCell ref="D55:F55"/>
    <mergeCell ref="H55:J55"/>
    <mergeCell ref="K55:M55"/>
    <mergeCell ref="D52:F52"/>
    <mergeCell ref="H52:J52"/>
    <mergeCell ref="K52:M52"/>
    <mergeCell ref="D53:F53"/>
    <mergeCell ref="H53:J53"/>
    <mergeCell ref="K53:M53"/>
    <mergeCell ref="D58:F58"/>
    <mergeCell ref="H58:J58"/>
    <mergeCell ref="K58:M58"/>
    <mergeCell ref="D59:F59"/>
    <mergeCell ref="H59:J59"/>
    <mergeCell ref="K59:M59"/>
    <mergeCell ref="D57:F57"/>
    <mergeCell ref="H57:J57"/>
    <mergeCell ref="K57:M57"/>
    <mergeCell ref="D54:F54"/>
    <mergeCell ref="H54:J54"/>
    <mergeCell ref="K54:M54"/>
    <mergeCell ref="K56:M56"/>
    <mergeCell ref="H56:J56"/>
    <mergeCell ref="D56:F56"/>
    <mergeCell ref="D62:F62"/>
    <mergeCell ref="H62:J62"/>
    <mergeCell ref="K62:M62"/>
    <mergeCell ref="D63:F63"/>
    <mergeCell ref="H63:J63"/>
    <mergeCell ref="K63:M63"/>
    <mergeCell ref="D60:F60"/>
    <mergeCell ref="H60:J60"/>
    <mergeCell ref="K60:M60"/>
    <mergeCell ref="D61:F61"/>
    <mergeCell ref="H61:J61"/>
    <mergeCell ref="K61:M61"/>
    <mergeCell ref="P66:P78"/>
    <mergeCell ref="Q66:Q78"/>
    <mergeCell ref="D67:F67"/>
    <mergeCell ref="H67:J67"/>
    <mergeCell ref="K67:M67"/>
    <mergeCell ref="D68:F68"/>
    <mergeCell ref="H68:J68"/>
    <mergeCell ref="D64:F64"/>
    <mergeCell ref="H64:J64"/>
    <mergeCell ref="K64:M64"/>
    <mergeCell ref="D65:F65"/>
    <mergeCell ref="H65:J65"/>
    <mergeCell ref="K65:M65"/>
    <mergeCell ref="K68:M68"/>
    <mergeCell ref="D69:F69"/>
    <mergeCell ref="H69:J69"/>
    <mergeCell ref="K69:M69"/>
    <mergeCell ref="D70:F70"/>
    <mergeCell ref="H70:J70"/>
    <mergeCell ref="K70:M70"/>
    <mergeCell ref="D66:F66"/>
    <mergeCell ref="H66:J66"/>
    <mergeCell ref="K66:M66"/>
    <mergeCell ref="D71:F71"/>
    <mergeCell ref="C78:D78"/>
    <mergeCell ref="G78:H78"/>
    <mergeCell ref="I78:K78"/>
    <mergeCell ref="L78:M78"/>
    <mergeCell ref="C79:D79"/>
    <mergeCell ref="G79:H79"/>
    <mergeCell ref="I79:K79"/>
    <mergeCell ref="L79:M79"/>
    <mergeCell ref="H71:J71"/>
    <mergeCell ref="K71:M71"/>
    <mergeCell ref="C72:G76"/>
    <mergeCell ref="H72:J72"/>
    <mergeCell ref="K72:M72"/>
    <mergeCell ref="H73:J73"/>
    <mergeCell ref="K73:M73"/>
    <mergeCell ref="H74:M74"/>
    <mergeCell ref="H75:J76"/>
    <mergeCell ref="K75:M76"/>
    <mergeCell ref="C241:F242"/>
    <mergeCell ref="G241:M242"/>
    <mergeCell ref="O241:O276"/>
    <mergeCell ref="P242:P260"/>
    <mergeCell ref="C243:F243"/>
    <mergeCell ref="G243:M243"/>
    <mergeCell ref="Q243:Q260"/>
    <mergeCell ref="C244:M244"/>
    <mergeCell ref="D245:F245"/>
    <mergeCell ref="D246:F246"/>
    <mergeCell ref="G246:M246"/>
    <mergeCell ref="C247:M247"/>
    <mergeCell ref="D248:F248"/>
    <mergeCell ref="H248:J248"/>
    <mergeCell ref="K248:M248"/>
    <mergeCell ref="D249:F249"/>
    <mergeCell ref="H249:J249"/>
    <mergeCell ref="K249:M249"/>
    <mergeCell ref="D250:F250"/>
    <mergeCell ref="H250:J250"/>
    <mergeCell ref="K250:M250"/>
    <mergeCell ref="D251:F251"/>
    <mergeCell ref="H251:J251"/>
    <mergeCell ref="K251:M251"/>
    <mergeCell ref="D252:F252"/>
    <mergeCell ref="H252:J252"/>
    <mergeCell ref="K252:M252"/>
    <mergeCell ref="D253:F253"/>
    <mergeCell ref="H253:J253"/>
    <mergeCell ref="K253:M253"/>
    <mergeCell ref="D254:F254"/>
    <mergeCell ref="H254:J254"/>
    <mergeCell ref="K254:M254"/>
    <mergeCell ref="D255:F255"/>
    <mergeCell ref="H255:J255"/>
    <mergeCell ref="K255:M255"/>
    <mergeCell ref="D256:F256"/>
    <mergeCell ref="H256:J256"/>
    <mergeCell ref="K256:M256"/>
    <mergeCell ref="D257:F257"/>
    <mergeCell ref="H257:J257"/>
    <mergeCell ref="K257:M257"/>
    <mergeCell ref="D258:F258"/>
    <mergeCell ref="H258:J258"/>
    <mergeCell ref="K258:M258"/>
    <mergeCell ref="D259:F259"/>
    <mergeCell ref="H259:J259"/>
    <mergeCell ref="K259:M259"/>
    <mergeCell ref="D260:F260"/>
    <mergeCell ref="H260:J260"/>
    <mergeCell ref="K260:M260"/>
    <mergeCell ref="D261:F261"/>
    <mergeCell ref="H261:J261"/>
    <mergeCell ref="K261:M261"/>
    <mergeCell ref="D262:F262"/>
    <mergeCell ref="H262:J262"/>
    <mergeCell ref="K262:M262"/>
    <mergeCell ref="D263:F263"/>
    <mergeCell ref="H263:J263"/>
    <mergeCell ref="K263:M263"/>
    <mergeCell ref="P263:P275"/>
    <mergeCell ref="Q263:Q275"/>
    <mergeCell ref="D264:F264"/>
    <mergeCell ref="H264:J264"/>
    <mergeCell ref="K264:M264"/>
    <mergeCell ref="D265:F265"/>
    <mergeCell ref="H265:J265"/>
    <mergeCell ref="K265:M265"/>
    <mergeCell ref="D266:F266"/>
    <mergeCell ref="H266:J266"/>
    <mergeCell ref="K266:M266"/>
    <mergeCell ref="D267:F267"/>
    <mergeCell ref="H267:J267"/>
    <mergeCell ref="K267:M267"/>
    <mergeCell ref="D268:F268"/>
    <mergeCell ref="H268:J268"/>
    <mergeCell ref="K268:M268"/>
    <mergeCell ref="C269:G273"/>
    <mergeCell ref="H269:J269"/>
    <mergeCell ref="K269:M269"/>
    <mergeCell ref="H270:J270"/>
    <mergeCell ref="K270:M270"/>
    <mergeCell ref="H271:M271"/>
    <mergeCell ref="H272:J273"/>
    <mergeCell ref="K272:M273"/>
    <mergeCell ref="C275:D275"/>
    <mergeCell ref="G275:H275"/>
    <mergeCell ref="I275:K275"/>
    <mergeCell ref="L275:M275"/>
    <mergeCell ref="C276:D276"/>
    <mergeCell ref="G276:H276"/>
    <mergeCell ref="I276:K276"/>
    <mergeCell ref="L276:M276"/>
    <mergeCell ref="B279:R279"/>
    <mergeCell ref="C282:F283"/>
    <mergeCell ref="G282:M283"/>
    <mergeCell ref="O282:O317"/>
    <mergeCell ref="P283:P301"/>
    <mergeCell ref="C284:F284"/>
    <mergeCell ref="G284:M284"/>
    <mergeCell ref="Q284:Q301"/>
    <mergeCell ref="C285:M285"/>
    <mergeCell ref="D286:F286"/>
    <mergeCell ref="D287:F287"/>
    <mergeCell ref="G287:M287"/>
    <mergeCell ref="C288:M288"/>
    <mergeCell ref="D289:F289"/>
    <mergeCell ref="H289:J289"/>
    <mergeCell ref="K289:M289"/>
    <mergeCell ref="D290:F290"/>
    <mergeCell ref="H290:J290"/>
    <mergeCell ref="K290:M290"/>
    <mergeCell ref="D291:F291"/>
    <mergeCell ref="H291:J291"/>
    <mergeCell ref="K291:M291"/>
    <mergeCell ref="D292:F292"/>
    <mergeCell ref="H292:J292"/>
    <mergeCell ref="K292:M292"/>
    <mergeCell ref="D293:F293"/>
    <mergeCell ref="H293:J293"/>
    <mergeCell ref="K293:M293"/>
    <mergeCell ref="D294:F294"/>
    <mergeCell ref="H294:J294"/>
    <mergeCell ref="K294:M294"/>
    <mergeCell ref="D295:F295"/>
    <mergeCell ref="H295:J295"/>
    <mergeCell ref="K295:M295"/>
    <mergeCell ref="D296:F296"/>
    <mergeCell ref="H296:J296"/>
    <mergeCell ref="K296:M296"/>
    <mergeCell ref="D297:F297"/>
    <mergeCell ref="H297:J297"/>
    <mergeCell ref="K297:M297"/>
    <mergeCell ref="D298:F298"/>
    <mergeCell ref="H298:J298"/>
    <mergeCell ref="K298:M298"/>
    <mergeCell ref="D299:F299"/>
    <mergeCell ref="H299:J299"/>
    <mergeCell ref="K299:M299"/>
    <mergeCell ref="D300:F300"/>
    <mergeCell ref="H300:J300"/>
    <mergeCell ref="K300:M300"/>
    <mergeCell ref="D301:F301"/>
    <mergeCell ref="H301:J301"/>
    <mergeCell ref="K301:M301"/>
    <mergeCell ref="D302:F302"/>
    <mergeCell ref="H302:J302"/>
    <mergeCell ref="K302:M302"/>
    <mergeCell ref="D303:F303"/>
    <mergeCell ref="H303:J303"/>
    <mergeCell ref="K303:M303"/>
    <mergeCell ref="D304:F304"/>
    <mergeCell ref="H304:J304"/>
    <mergeCell ref="K304:M304"/>
    <mergeCell ref="P304:P316"/>
    <mergeCell ref="Q304:Q316"/>
    <mergeCell ref="D305:F305"/>
    <mergeCell ref="H305:J305"/>
    <mergeCell ref="K305:M305"/>
    <mergeCell ref="D306:F306"/>
    <mergeCell ref="H306:J306"/>
    <mergeCell ref="K306:M306"/>
    <mergeCell ref="D307:F307"/>
    <mergeCell ref="H307:J307"/>
    <mergeCell ref="K307:M307"/>
    <mergeCell ref="D308:F308"/>
    <mergeCell ref="H308:J308"/>
    <mergeCell ref="K308:M308"/>
    <mergeCell ref="D309:F309"/>
    <mergeCell ref="H309:J309"/>
    <mergeCell ref="K309:M309"/>
    <mergeCell ref="C310:G314"/>
    <mergeCell ref="H310:J310"/>
    <mergeCell ref="K310:M310"/>
    <mergeCell ref="H311:J311"/>
    <mergeCell ref="K311:M311"/>
    <mergeCell ref="H312:M312"/>
    <mergeCell ref="H313:J314"/>
    <mergeCell ref="K313:M314"/>
    <mergeCell ref="C316:D316"/>
    <mergeCell ref="G316:H316"/>
    <mergeCell ref="I316:K316"/>
    <mergeCell ref="L316:M316"/>
    <mergeCell ref="C317:D317"/>
    <mergeCell ref="G317:H317"/>
    <mergeCell ref="I317:K317"/>
    <mergeCell ref="L317:M317"/>
  </mergeCells>
  <dataValidations disablePrompts="1" count="1">
    <dataValidation type="list" allowBlank="1" showInputMessage="1" showErrorMessage="1" sqref="C8 C246 C166 C87" xr:uid="{00000000-0002-0000-0200-000000000000}">
      <formula1>Matriculas</formula1>
    </dataValidation>
  </dataValidations>
  <printOptions horizontalCentered="1"/>
  <pageMargins left="0.39370078740157483" right="0" top="0.39370078740157483" bottom="0" header="0" footer="0"/>
  <pageSetup paperSize="9" scale="97" orientation="portrait" horizontalDpi="4294967294" verticalDpi="4294967294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J15"/>
  <sheetViews>
    <sheetView workbookViewId="0">
      <selection activeCell="I8" sqref="I8"/>
    </sheetView>
  </sheetViews>
  <sheetFormatPr defaultRowHeight="12.75"/>
  <cols>
    <col min="1" max="1" width="11.85546875" customWidth="1"/>
    <col min="2" max="2" width="9.7109375" customWidth="1"/>
    <col min="3" max="3" width="10.7109375" customWidth="1"/>
    <col min="4" max="4" width="30.28515625" bestFit="1" customWidth="1"/>
    <col min="5" max="5" width="22.42578125" customWidth="1"/>
    <col min="6" max="6" width="8.85546875" customWidth="1"/>
    <col min="7" max="7" width="25.5703125" bestFit="1" customWidth="1"/>
    <col min="8" max="8" width="11.85546875" customWidth="1"/>
    <col min="9" max="9" width="15.140625" style="87" customWidth="1"/>
    <col min="10" max="10" width="13.140625" style="87" customWidth="1"/>
  </cols>
  <sheetData>
    <row r="1" spans="1:10">
      <c r="A1" s="43" t="s">
        <v>40</v>
      </c>
      <c r="B1" s="43" t="s">
        <v>41</v>
      </c>
      <c r="C1" s="43" t="s">
        <v>36</v>
      </c>
      <c r="D1" s="43" t="s">
        <v>37</v>
      </c>
      <c r="E1" s="43" t="s">
        <v>39</v>
      </c>
      <c r="F1" s="43" t="s">
        <v>9</v>
      </c>
      <c r="G1" s="43" t="s">
        <v>1</v>
      </c>
      <c r="H1" s="43" t="s">
        <v>23</v>
      </c>
      <c r="I1" s="86" t="s">
        <v>2</v>
      </c>
      <c r="J1" s="86" t="s">
        <v>3</v>
      </c>
    </row>
    <row r="2" spans="1:10" hidden="1">
      <c r="A2">
        <f>IF(COUNTIF($C$1:C2,C2)&gt;0,COUNTIF($C$1:C2,C2),"")</f>
        <v>1</v>
      </c>
      <c r="B2" t="str">
        <f>A2&amp;"-"&amp;C2</f>
        <v>1-9010</v>
      </c>
      <c r="C2">
        <v>9010</v>
      </c>
      <c r="D2" t="e">
        <f>VLOOKUP(C2,Configuração!D:E,2,0)</f>
        <v>#N/A</v>
      </c>
      <c r="E2" t="e">
        <f>VLOOKUP(C2,Configuração!D:F,3,0)</f>
        <v>#N/A</v>
      </c>
      <c r="F2">
        <v>101</v>
      </c>
      <c r="G2" t="s">
        <v>35</v>
      </c>
      <c r="H2" s="83" t="s">
        <v>38</v>
      </c>
      <c r="I2" s="87">
        <v>998</v>
      </c>
    </row>
    <row r="3" spans="1:10" hidden="1">
      <c r="A3">
        <f>IF(COUNTIF($C$1:C3,C3)&gt;0,COUNTIF($C$1:C3,C3),"")</f>
        <v>2</v>
      </c>
      <c r="B3" t="str">
        <f t="shared" ref="B3:B6" si="0">A3&amp;"-"&amp;C3</f>
        <v>2-9010</v>
      </c>
      <c r="C3">
        <v>9010</v>
      </c>
      <c r="D3" t="e">
        <f>VLOOKUP(C3,Configuração!D:E,2,0)</f>
        <v>#N/A</v>
      </c>
      <c r="E3" t="e">
        <f>VLOOKUP(C3,Configuração!D:F,3,0)</f>
        <v>#N/A</v>
      </c>
      <c r="F3">
        <v>973</v>
      </c>
      <c r="G3" t="s">
        <v>0</v>
      </c>
      <c r="H3" s="84">
        <v>0.11</v>
      </c>
      <c r="J3" s="87">
        <f>$I$2*H3</f>
        <v>109.78</v>
      </c>
    </row>
    <row r="4" spans="1:10" hidden="1">
      <c r="A4">
        <f>IF(COUNTIF($C$1:C4,C4)&gt;0,COUNTIF($C$1:C4,C4),"")</f>
        <v>3</v>
      </c>
      <c r="B4" t="str">
        <f t="shared" si="0"/>
        <v>3-9010</v>
      </c>
      <c r="C4">
        <v>9010</v>
      </c>
      <c r="D4" t="e">
        <f>VLOOKUP(C4,Configuração!D:E,2,0)</f>
        <v>#N/A</v>
      </c>
      <c r="E4" t="e">
        <f>VLOOKUP(C4,Configuração!D:F,3,0)</f>
        <v>#N/A</v>
      </c>
      <c r="F4">
        <v>987</v>
      </c>
      <c r="G4" t="s">
        <v>28</v>
      </c>
      <c r="H4" s="85">
        <v>7.4999999999999997E-2</v>
      </c>
      <c r="J4" s="87">
        <f>$I$2*H4</f>
        <v>74.849999999999994</v>
      </c>
    </row>
    <row r="5" spans="1:10">
      <c r="A5">
        <f>IF(COUNTIF($C$1:C5,C5)&gt;0,COUNTIF($C$1:C5,C5),"")</f>
        <v>1</v>
      </c>
      <c r="B5" t="str">
        <f t="shared" si="0"/>
        <v>1-1</v>
      </c>
      <c r="C5">
        <v>1</v>
      </c>
      <c r="D5" t="s">
        <v>56</v>
      </c>
      <c r="E5" t="s">
        <v>43</v>
      </c>
      <c r="F5">
        <v>101</v>
      </c>
      <c r="G5" t="s">
        <v>35</v>
      </c>
      <c r="H5" s="83" t="s">
        <v>38</v>
      </c>
      <c r="I5" s="87">
        <v>660</v>
      </c>
    </row>
    <row r="6" spans="1:10">
      <c r="A6">
        <f>IF(COUNTIF($C$1:C6,C6)&gt;0,COUNTIF($C$1:C6,C6),"")</f>
        <v>2</v>
      </c>
      <c r="B6" t="str">
        <f t="shared" si="0"/>
        <v>2-1</v>
      </c>
      <c r="C6">
        <v>1</v>
      </c>
      <c r="D6" t="s">
        <v>56</v>
      </c>
      <c r="E6" t="s">
        <v>43</v>
      </c>
      <c r="F6">
        <v>973</v>
      </c>
      <c r="G6" t="s">
        <v>0</v>
      </c>
      <c r="H6" s="84">
        <v>0.08</v>
      </c>
      <c r="J6" s="87">
        <f>$I$5*H6</f>
        <v>52.800000000000004</v>
      </c>
    </row>
    <row r="7" spans="1:10">
      <c r="A7">
        <f>IF(COUNTIF($C$1:C7,C7)&gt;0,COUNTIF($C$1:C7,C7),"")</f>
        <v>3</v>
      </c>
      <c r="B7" t="str">
        <f>A7&amp;"-"&amp;C7</f>
        <v>3-1</v>
      </c>
      <c r="C7">
        <v>1</v>
      </c>
      <c r="D7" t="s">
        <v>56</v>
      </c>
      <c r="E7" t="s">
        <v>43</v>
      </c>
      <c r="F7">
        <v>988</v>
      </c>
      <c r="G7" t="s">
        <v>44</v>
      </c>
      <c r="H7" s="96" t="s">
        <v>48</v>
      </c>
      <c r="I7" s="87">
        <v>32.799999999999997</v>
      </c>
    </row>
    <row r="8" spans="1:10">
      <c r="A8">
        <f>IF(COUNTIF($C$1:C8,C8)&gt;0,COUNTIF($C$1:C8,C8),"")</f>
        <v>4</v>
      </c>
      <c r="B8" t="str">
        <f>A8&amp;"-"&amp;C8</f>
        <v>4-1</v>
      </c>
      <c r="C8">
        <v>1</v>
      </c>
      <c r="D8" t="s">
        <v>56</v>
      </c>
      <c r="E8" t="s">
        <v>43</v>
      </c>
      <c r="F8">
        <v>150</v>
      </c>
      <c r="G8" t="s">
        <v>50</v>
      </c>
      <c r="H8" s="93"/>
      <c r="I8" s="87">
        <v>357.75</v>
      </c>
    </row>
    <row r="9" spans="1:10">
      <c r="A9">
        <v>5</v>
      </c>
      <c r="B9" t="str">
        <f>A9&amp;"-"&amp;C9</f>
        <v>5-1</v>
      </c>
      <c r="C9">
        <v>1</v>
      </c>
      <c r="D9" t="s">
        <v>56</v>
      </c>
      <c r="E9" t="s">
        <v>43</v>
      </c>
      <c r="F9">
        <v>987</v>
      </c>
      <c r="G9" t="s">
        <v>28</v>
      </c>
      <c r="H9" s="94">
        <v>7.4999999999999997E-2</v>
      </c>
    </row>
    <row r="10" spans="1:10">
      <c r="A10">
        <v>6</v>
      </c>
      <c r="B10" t="str">
        <f>A10&amp;"-"&amp;C10</f>
        <v>6-2</v>
      </c>
      <c r="C10">
        <v>2</v>
      </c>
      <c r="D10" t="s">
        <v>56</v>
      </c>
      <c r="E10" t="s">
        <v>43</v>
      </c>
      <c r="F10">
        <v>975</v>
      </c>
      <c r="G10" t="s">
        <v>54</v>
      </c>
      <c r="H10" s="94">
        <v>0.08</v>
      </c>
    </row>
    <row r="11" spans="1:10">
      <c r="A11">
        <v>6</v>
      </c>
      <c r="B11" t="str">
        <f t="shared" ref="B11:B12" si="1">A11&amp;"-"&amp;C11</f>
        <v>6-1</v>
      </c>
      <c r="C11">
        <v>1</v>
      </c>
      <c r="D11" t="s">
        <v>56</v>
      </c>
      <c r="E11" t="s">
        <v>43</v>
      </c>
      <c r="F11">
        <v>151</v>
      </c>
      <c r="G11" t="s">
        <v>51</v>
      </c>
      <c r="H11" s="83">
        <v>12</v>
      </c>
      <c r="I11" s="87">
        <v>715.5</v>
      </c>
    </row>
    <row r="12" spans="1:10">
      <c r="A12">
        <f>IF(COUNTIF($C$1:C12,C12)&gt;0,COUNTIF($C$1:C12,C12),"")</f>
        <v>2</v>
      </c>
      <c r="B12" t="str">
        <f t="shared" si="1"/>
        <v>2-2</v>
      </c>
      <c r="C12">
        <v>2</v>
      </c>
      <c r="F12">
        <v>973</v>
      </c>
      <c r="G12" t="s">
        <v>0</v>
      </c>
      <c r="H12" s="84">
        <v>0.08</v>
      </c>
      <c r="J12" s="87">
        <f>$I$5*H12</f>
        <v>52.800000000000004</v>
      </c>
    </row>
    <row r="13" spans="1:10">
      <c r="A13">
        <f>IF(COUNTIF($C$1:C13,C13)&gt;0,COUNTIF($C$1:C13,C13),"")</f>
        <v>3</v>
      </c>
      <c r="B13" t="str">
        <f>A13&amp;"-"&amp;C13</f>
        <v>3-2</v>
      </c>
      <c r="C13">
        <v>2</v>
      </c>
      <c r="F13">
        <v>988</v>
      </c>
      <c r="G13" t="s">
        <v>44</v>
      </c>
      <c r="H13" s="96" t="s">
        <v>48</v>
      </c>
      <c r="I13" s="87">
        <v>32.799999999999997</v>
      </c>
    </row>
    <row r="14" spans="1:10">
      <c r="A14">
        <f>IF(COUNTIF($C$1:C14,C14)&gt;0,COUNTIF($C$1:C14,C14),"")</f>
        <v>4</v>
      </c>
      <c r="B14" t="str">
        <f>A14&amp;"-"&amp;C14</f>
        <v>4-2</v>
      </c>
      <c r="C14">
        <v>2</v>
      </c>
      <c r="F14">
        <v>150</v>
      </c>
      <c r="G14" t="s">
        <v>50</v>
      </c>
      <c r="H14" s="93" t="s">
        <v>38</v>
      </c>
      <c r="I14" s="87">
        <v>998</v>
      </c>
    </row>
    <row r="15" spans="1:10">
      <c r="A15">
        <f>IF(COUNTIF($C$1:C15,C15)&gt;0,COUNTIF($C$1:C15,C15),"")</f>
        <v>5</v>
      </c>
      <c r="B15" t="str">
        <f>A15&amp;"-"&amp;C15</f>
        <v>5-2</v>
      </c>
      <c r="C15">
        <v>2</v>
      </c>
      <c r="F15">
        <v>987</v>
      </c>
      <c r="G15" t="s">
        <v>28</v>
      </c>
      <c r="H15" s="94">
        <v>7.4999999999999997E-2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F8"/>
  <sheetViews>
    <sheetView workbookViewId="0">
      <selection activeCell="C8" sqref="C8"/>
    </sheetView>
  </sheetViews>
  <sheetFormatPr defaultRowHeight="12.75"/>
  <cols>
    <col min="1" max="1" width="6.7109375" bestFit="1" customWidth="1"/>
    <col min="2" max="2" width="16.85546875" bestFit="1" customWidth="1"/>
    <col min="5" max="5" width="22.42578125" bestFit="1" customWidth="1"/>
    <col min="6" max="6" width="29" bestFit="1" customWidth="1"/>
  </cols>
  <sheetData>
    <row r="1" spans="1:6">
      <c r="A1" s="43" t="s">
        <v>9</v>
      </c>
      <c r="B1" s="43" t="s">
        <v>1</v>
      </c>
      <c r="D1" s="43"/>
      <c r="E1" s="43"/>
      <c r="F1" s="43"/>
    </row>
    <row r="2" spans="1:6">
      <c r="A2">
        <v>101</v>
      </c>
      <c r="B2" t="s">
        <v>35</v>
      </c>
      <c r="E2" s="43"/>
      <c r="F2" s="43"/>
    </row>
    <row r="3" spans="1:6">
      <c r="A3">
        <v>973</v>
      </c>
      <c r="B3" t="s">
        <v>0</v>
      </c>
      <c r="E3" s="43"/>
      <c r="F3" s="43"/>
    </row>
    <row r="4" spans="1:6">
      <c r="A4">
        <v>988</v>
      </c>
      <c r="B4" t="s">
        <v>44</v>
      </c>
    </row>
    <row r="5" spans="1:6">
      <c r="A5">
        <v>151</v>
      </c>
      <c r="B5" t="s">
        <v>51</v>
      </c>
    </row>
    <row r="6" spans="1:6">
      <c r="A6">
        <v>150</v>
      </c>
      <c r="B6" t="s">
        <v>50</v>
      </c>
    </row>
    <row r="7" spans="1:6">
      <c r="A7">
        <v>987</v>
      </c>
      <c r="B7" t="s">
        <v>28</v>
      </c>
    </row>
    <row r="8" spans="1:6">
      <c r="A8">
        <v>975</v>
      </c>
      <c r="B8" t="s">
        <v>53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Menu</vt:lpstr>
      <vt:lpstr>Holerite Colorido</vt:lpstr>
      <vt:lpstr>Holerite Preto e Branco</vt:lpstr>
      <vt:lpstr>Base de Dados</vt:lpstr>
      <vt:lpstr>Configuração</vt:lpstr>
      <vt:lpstr>'Holerite Colorido'!Area_de_impressao</vt:lpstr>
      <vt:lpstr>'Holerite Preto e Branco'!Area_de_impressao</vt:lpstr>
      <vt:lpstr>Matriculas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Holerite</dc:title>
  <dc:subject>Modelo de Holerite</dc:subject>
  <dc:creator>O Manual</dc:creator>
  <cp:keywords>holerite, recibo de salário, documento</cp:keywords>
  <dc:description>visite:
www.omanual.com.br</dc:description>
  <cp:lastModifiedBy>Aslefi Nunes</cp:lastModifiedBy>
  <cp:lastPrinted>2023-11-21T10:52:24Z</cp:lastPrinted>
  <dcterms:created xsi:type="dcterms:W3CDTF">2003-04-26T21:55:55Z</dcterms:created>
  <dcterms:modified xsi:type="dcterms:W3CDTF">2023-11-21T10:53:23Z</dcterms:modified>
  <cp:category>Modelo de Documento</cp:category>
</cp:coreProperties>
</file>